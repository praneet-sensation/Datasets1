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eet_bawa\Desktop\Data_Analysis\Practice\drive-download-20260607T052841Z-3-001\"/>
    </mc:Choice>
  </mc:AlternateContent>
  <xr:revisionPtr revIDLastSave="0" documentId="13_ncr:1_{7D0182C5-D15D-45DB-B1AB-58F24552A340}" xr6:coauthVersionLast="47" xr6:coauthVersionMax="47" xr10:uidLastSave="{00000000-0000-0000-0000-000000000000}"/>
  <bookViews>
    <workbookView xWindow="-108" yWindow="-108" windowWidth="23256" windowHeight="12456" tabRatio="824" activeTab="1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Case_Study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2" i="8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G3" i="8"/>
  <c r="G4" i="8"/>
  <c r="G5" i="8"/>
  <c r="G6" i="8"/>
  <c r="G7" i="8"/>
  <c r="G8" i="8"/>
  <c r="G9" i="8"/>
  <c r="G10" i="8"/>
  <c r="G11" i="8"/>
  <c r="G2" i="8"/>
  <c r="F3" i="8"/>
  <c r="F2" i="8"/>
  <c r="F4" i="8"/>
  <c r="F5" i="8"/>
  <c r="F6" i="8"/>
  <c r="F7" i="8"/>
  <c r="F8" i="8"/>
  <c r="F9" i="8"/>
  <c r="F10" i="8"/>
  <c r="F11" i="8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D3" i="8"/>
  <c r="D4" i="8"/>
  <c r="D5" i="8"/>
  <c r="D6" i="8"/>
  <c r="D7" i="8"/>
  <c r="D8" i="8"/>
  <c r="D9" i="8"/>
  <c r="D10" i="8"/>
  <c r="D11" i="8"/>
  <c r="D2" i="8"/>
  <c r="D2" i="3" a="1"/>
  <c r="D2" i="3"/>
  <c r="D3" i="3" a="1"/>
  <c r="D3" i="3" s="1"/>
  <c r="D4" i="3" a="1"/>
  <c r="D4" i="3"/>
  <c r="D5" i="3" a="1"/>
  <c r="D5" i="3"/>
  <c r="D6" i="3" a="1"/>
  <c r="D6" i="3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/>
  <c r="D13" i="3" a="1"/>
  <c r="D13" i="3"/>
  <c r="D14" i="3" a="1"/>
  <c r="D14" i="3"/>
  <c r="D15" i="3" a="1"/>
  <c r="D15" i="3" s="1"/>
  <c r="D16" i="3" a="1"/>
  <c r="D16" i="3"/>
  <c r="D17" i="3" a="1"/>
  <c r="D17" i="3"/>
  <c r="D18" i="3" a="1"/>
  <c r="D18" i="3"/>
  <c r="D19" i="3" a="1"/>
  <c r="D19" i="3"/>
  <c r="D20" i="3" a="1"/>
  <c r="D20" i="3"/>
  <c r="D21" i="3" a="1"/>
  <c r="D21" i="3" s="1"/>
  <c r="D22" i="3" a="1"/>
  <c r="D22" i="3"/>
  <c r="D23" i="3" a="1"/>
  <c r="D23" i="3"/>
  <c r="D24" i="3" a="1"/>
  <c r="D24" i="3"/>
  <c r="D25" i="3" a="1"/>
  <c r="D25" i="3"/>
  <c r="D26" i="3" a="1"/>
  <c r="D26" i="3"/>
  <c r="D27" i="3" a="1"/>
  <c r="D27" i="3" s="1"/>
  <c r="D28" i="3" a="1"/>
  <c r="D28" i="3" s="1"/>
  <c r="D29" i="3" a="1"/>
  <c r="D29" i="3"/>
  <c r="D30" i="3" a="1"/>
  <c r="D30" i="3"/>
  <c r="D31" i="3" a="1"/>
  <c r="D31" i="3"/>
  <c r="D32" i="3" a="1"/>
  <c r="D32" i="3"/>
  <c r="D33" i="3" a="1"/>
  <c r="D33" i="3" s="1"/>
  <c r="D34" i="3" a="1"/>
  <c r="D34" i="3"/>
  <c r="D35" i="3" a="1"/>
  <c r="D35" i="3"/>
  <c r="D36" i="3" a="1"/>
  <c r="D36" i="3"/>
  <c r="D37" i="3" a="1"/>
  <c r="D37" i="3"/>
  <c r="D38" i="3" a="1"/>
  <c r="D38" i="3"/>
  <c r="D39" i="3" a="1"/>
  <c r="D39" i="3" s="1"/>
  <c r="D40" i="3" a="1"/>
  <c r="D40" i="3"/>
  <c r="D41" i="3" a="1"/>
  <c r="D41" i="3"/>
  <c r="D42" i="3" a="1"/>
  <c r="D42" i="3"/>
  <c r="D43" i="3" a="1"/>
  <c r="D43" i="3"/>
  <c r="D44" i="3" a="1"/>
  <c r="D44" i="3"/>
  <c r="D45" i="3" a="1"/>
  <c r="D45" i="3" s="1"/>
  <c r="D46" i="3" a="1"/>
  <c r="D46" i="3"/>
  <c r="D47" i="3" a="1"/>
  <c r="D47" i="3"/>
  <c r="D48" i="3" a="1"/>
  <c r="D48" i="3"/>
  <c r="D49" i="3" a="1"/>
  <c r="D49" i="3"/>
  <c r="D50" i="3" a="1"/>
  <c r="D50" i="3"/>
  <c r="D51" i="3" a="1"/>
  <c r="D51" i="3" s="1"/>
  <c r="D52" i="3" a="1"/>
  <c r="D52" i="3" s="1"/>
  <c r="D53" i="3" a="1"/>
  <c r="D53" i="3"/>
  <c r="D54" i="3" a="1"/>
  <c r="D54" i="3"/>
  <c r="D55" i="3" a="1"/>
  <c r="D55" i="3"/>
  <c r="D56" i="3" a="1"/>
  <c r="D56" i="3"/>
  <c r="D57" i="3" a="1"/>
  <c r="D57" i="3" s="1"/>
  <c r="D58" i="3" a="1"/>
  <c r="D58" i="3" s="1"/>
  <c r="D59" i="3" a="1"/>
  <c r="D59" i="3"/>
  <c r="D60" i="3" a="1"/>
  <c r="D60" i="3"/>
  <c r="D61" i="3" a="1"/>
  <c r="D61" i="3"/>
  <c r="D62" i="3" a="1"/>
  <c r="D62" i="3"/>
  <c r="D63" i="3" a="1"/>
  <c r="D63" i="3" s="1"/>
  <c r="D64" i="3" a="1"/>
  <c r="D64" i="3" s="1"/>
  <c r="D65" i="3" a="1"/>
  <c r="D65" i="3"/>
  <c r="D66" i="3" a="1"/>
  <c r="D66" i="3"/>
  <c r="D67" i="3" a="1"/>
  <c r="D67" i="3"/>
  <c r="D68" i="3" a="1"/>
  <c r="D68" i="3"/>
  <c r="D69" i="3" a="1"/>
  <c r="D69" i="3" s="1"/>
  <c r="D70" i="3" a="1"/>
  <c r="D70" i="3"/>
  <c r="D71" i="3" a="1"/>
  <c r="D71" i="3"/>
  <c r="D72" i="3" a="1"/>
  <c r="D72" i="3"/>
  <c r="D73" i="3" a="1"/>
  <c r="D73" i="3"/>
  <c r="D74" i="3" a="1"/>
  <c r="D74" i="3"/>
  <c r="D75" i="3" a="1"/>
  <c r="D75" i="3" s="1"/>
  <c r="D76" i="3" a="1"/>
  <c r="D76" i="3"/>
  <c r="D77" i="3" a="1"/>
  <c r="D77" i="3"/>
  <c r="D78" i="3" a="1"/>
  <c r="D78" i="3"/>
  <c r="D79" i="3" a="1"/>
  <c r="D79" i="3"/>
  <c r="D80" i="3" a="1"/>
  <c r="D80" i="3"/>
  <c r="D81" i="3" a="1"/>
  <c r="D81" i="3" s="1"/>
  <c r="D82" i="3" a="1"/>
  <c r="D82" i="3"/>
  <c r="D83" i="3" a="1"/>
  <c r="D83" i="3"/>
  <c r="D84" i="3" a="1"/>
  <c r="D84" i="3"/>
  <c r="D85" i="3" a="1"/>
  <c r="D85" i="3"/>
  <c r="D86" i="3" a="1"/>
  <c r="D86" i="3"/>
  <c r="D87" i="3" a="1"/>
  <c r="D87" i="3" s="1"/>
  <c r="D88" i="3" a="1"/>
  <c r="D88" i="3"/>
  <c r="D89" i="3" a="1"/>
  <c r="D89" i="3"/>
  <c r="D90" i="3" a="1"/>
  <c r="D90" i="3"/>
  <c r="D91" i="3" a="1"/>
  <c r="D91" i="3"/>
  <c r="D92" i="3" a="1"/>
  <c r="D92" i="3"/>
  <c r="D93" i="3" a="1"/>
  <c r="D93" i="3" s="1"/>
  <c r="D94" i="3" a="1"/>
  <c r="D94" i="3"/>
  <c r="D95" i="3" a="1"/>
  <c r="D95" i="3"/>
  <c r="D96" i="3" a="1"/>
  <c r="D96" i="3"/>
  <c r="D97" i="3" a="1"/>
  <c r="D97" i="3"/>
  <c r="D98" i="3" a="1"/>
  <c r="D98" i="3"/>
  <c r="D99" i="3" a="1"/>
  <c r="D99" i="3" s="1"/>
  <c r="D100" i="3" a="1"/>
  <c r="D100" i="3"/>
  <c r="D101" i="3" a="1"/>
  <c r="D101" i="3"/>
  <c r="D102" i="3" a="1"/>
  <c r="D102" i="3"/>
  <c r="D103" i="3" a="1"/>
  <c r="D103" i="3"/>
  <c r="D104" i="3" a="1"/>
  <c r="D104" i="3"/>
  <c r="D105" i="3" a="1"/>
  <c r="D105" i="3" s="1"/>
  <c r="D106" i="3" a="1"/>
  <c r="D106" i="3"/>
  <c r="D107" i="3" a="1"/>
  <c r="D107" i="3"/>
  <c r="D108" i="3" a="1"/>
  <c r="D108" i="3"/>
  <c r="D109" i="3" a="1"/>
  <c r="D109" i="3"/>
  <c r="D110" i="3" a="1"/>
  <c r="D110" i="3"/>
  <c r="D111" i="3" a="1"/>
  <c r="D111" i="3" s="1"/>
  <c r="D112" i="3" a="1"/>
  <c r="D112" i="3"/>
  <c r="D113" i="3" a="1"/>
  <c r="D113" i="3"/>
  <c r="D114" i="3" a="1"/>
  <c r="D114" i="3"/>
  <c r="D115" i="3" a="1"/>
  <c r="D115" i="3"/>
  <c r="D116" i="3" a="1"/>
  <c r="D116" i="3"/>
  <c r="D117" i="3" a="1"/>
  <c r="D117" i="3" s="1"/>
  <c r="D118" i="3" a="1"/>
  <c r="D118" i="3"/>
  <c r="D119" i="3" a="1"/>
  <c r="D119" i="3"/>
  <c r="D120" i="3" a="1"/>
  <c r="D120" i="3"/>
  <c r="D121" i="3" a="1"/>
  <c r="D121" i="3"/>
  <c r="D122" i="3" a="1"/>
  <c r="D122" i="3"/>
  <c r="D123" i="3" a="1"/>
  <c r="D123" i="3" s="1"/>
  <c r="D124" i="3" a="1"/>
  <c r="D124" i="3"/>
  <c r="D125" i="3" a="1"/>
  <c r="D125" i="3"/>
  <c r="D126" i="3" a="1"/>
  <c r="D126" i="3"/>
  <c r="D127" i="3" a="1"/>
  <c r="D127" i="3"/>
  <c r="D128" i="3" a="1"/>
  <c r="D128" i="3"/>
  <c r="D129" i="3" a="1"/>
  <c r="D129" i="3" s="1"/>
  <c r="D130" i="3" a="1"/>
  <c r="D130" i="3"/>
  <c r="D131" i="3" a="1"/>
  <c r="D131" i="3"/>
  <c r="D132" i="3" a="1"/>
  <c r="D132" i="3"/>
  <c r="D133" i="3" a="1"/>
  <c r="D133" i="3"/>
  <c r="D134" i="3" a="1"/>
  <c r="D134" i="3"/>
  <c r="D135" i="3" a="1"/>
  <c r="D135" i="3" s="1"/>
  <c r="D136" i="3" a="1"/>
  <c r="D136" i="3"/>
  <c r="D137" i="3" a="1"/>
  <c r="D137" i="3"/>
  <c r="D138" i="3" a="1"/>
  <c r="D138" i="3"/>
  <c r="D139" i="3" a="1"/>
  <c r="D139" i="3"/>
  <c r="D140" i="3" a="1"/>
  <c r="D140" i="3"/>
  <c r="D141" i="3" a="1"/>
  <c r="D141" i="3" s="1"/>
  <c r="D142" i="3" a="1"/>
  <c r="D142" i="3"/>
  <c r="D143" i="3" a="1"/>
  <c r="D143" i="3"/>
  <c r="D144" i="3" a="1"/>
  <c r="D144" i="3"/>
  <c r="D145" i="3" a="1"/>
  <c r="D145" i="3"/>
  <c r="D146" i="3" a="1"/>
  <c r="D146" i="3"/>
  <c r="D147" i="3" a="1"/>
  <c r="D147" i="3" s="1"/>
  <c r="D148" i="3" a="1"/>
  <c r="D148" i="3"/>
  <c r="D149" i="3" a="1"/>
  <c r="D149" i="3"/>
  <c r="D150" i="3" a="1"/>
  <c r="D150" i="3"/>
  <c r="D151" i="3" a="1"/>
  <c r="D151" i="3"/>
  <c r="D152" i="3" a="1"/>
  <c r="D152" i="3"/>
  <c r="D153" i="3" a="1"/>
  <c r="D153" i="3" s="1"/>
  <c r="D154" i="3" a="1"/>
  <c r="D154" i="3"/>
  <c r="D155" i="3" a="1"/>
  <c r="D155" i="3"/>
  <c r="D156" i="3" a="1"/>
  <c r="D156" i="3"/>
  <c r="D157" i="3" a="1"/>
  <c r="D157" i="3"/>
  <c r="D158" i="3" a="1"/>
  <c r="D158" i="3"/>
  <c r="D159" i="3" a="1"/>
  <c r="D159" i="3" s="1"/>
  <c r="D160" i="3" a="1"/>
  <c r="D160" i="3"/>
  <c r="D161" i="3" a="1"/>
  <c r="D161" i="3"/>
  <c r="D162" i="3" a="1"/>
  <c r="D162" i="3"/>
  <c r="D163" i="3" a="1"/>
  <c r="D163" i="3"/>
  <c r="D164" i="3" a="1"/>
  <c r="D164" i="3"/>
  <c r="D165" i="3" a="1"/>
  <c r="D165" i="3" s="1"/>
  <c r="D166" i="3" a="1"/>
  <c r="D166" i="3"/>
  <c r="D167" i="3" a="1"/>
  <c r="D167" i="3"/>
  <c r="D168" i="3" a="1"/>
  <c r="D168" i="3"/>
  <c r="D169" i="3" a="1"/>
  <c r="D169" i="3"/>
  <c r="D170" i="3" a="1"/>
  <c r="D170" i="3"/>
  <c r="D171" i="3" a="1"/>
  <c r="D171" i="3" s="1"/>
  <c r="D172" i="3" a="1"/>
  <c r="D172" i="3"/>
  <c r="D173" i="3" a="1"/>
  <c r="D173" i="3"/>
  <c r="D174" i="3" a="1"/>
  <c r="D174" i="3"/>
  <c r="D175" i="3" a="1"/>
  <c r="D175" i="3"/>
  <c r="D176" i="3" a="1"/>
  <c r="D176" i="3"/>
  <c r="D177" i="3" a="1"/>
  <c r="D177" i="3" s="1"/>
  <c r="D178" i="3" a="1"/>
  <c r="D178" i="3"/>
  <c r="D179" i="3" a="1"/>
  <c r="D179" i="3"/>
  <c r="D180" i="3" a="1"/>
  <c r="D180" i="3"/>
  <c r="D181" i="3" a="1"/>
  <c r="D181" i="3"/>
  <c r="D182" i="3" a="1"/>
  <c r="D182" i="3"/>
  <c r="D183" i="3" a="1"/>
  <c r="D183" i="3" s="1"/>
  <c r="D184" i="3" a="1"/>
  <c r="D184" i="3"/>
  <c r="D185" i="3" a="1"/>
  <c r="D185" i="3"/>
  <c r="D186" i="3" a="1"/>
  <c r="D186" i="3"/>
  <c r="D187" i="3" a="1"/>
  <c r="D187" i="3"/>
  <c r="D188" i="3" a="1"/>
  <c r="D188" i="3"/>
  <c r="D189" i="3" a="1"/>
  <c r="D189" i="3" s="1"/>
  <c r="D190" i="3" a="1"/>
  <c r="D190" i="3"/>
  <c r="D191" i="3" a="1"/>
  <c r="D191" i="3"/>
  <c r="D192" i="3" a="1"/>
  <c r="D192" i="3"/>
  <c r="D193" i="3" a="1"/>
  <c r="D193" i="3"/>
  <c r="D194" i="3" a="1"/>
  <c r="D194" i="3"/>
  <c r="D195" i="3" a="1"/>
  <c r="D195" i="3" s="1"/>
  <c r="D196" i="3" a="1"/>
  <c r="D196" i="3"/>
  <c r="D197" i="3" a="1"/>
  <c r="D197" i="3"/>
  <c r="D198" i="3" a="1"/>
  <c r="D198" i="3"/>
  <c r="D199" i="3" a="1"/>
  <c r="D199" i="3"/>
  <c r="D200" i="3" a="1"/>
  <c r="D200" i="3"/>
  <c r="D201" i="3" a="1"/>
  <c r="D201" i="3" s="1"/>
  <c r="D202" i="3" a="1"/>
  <c r="D202" i="3"/>
  <c r="D203" i="3" a="1"/>
  <c r="D203" i="3"/>
  <c r="D204" i="3" a="1"/>
  <c r="D204" i="3"/>
  <c r="D205" i="3" a="1"/>
  <c r="D205" i="3"/>
  <c r="D206" i="3" a="1"/>
  <c r="D206" i="3"/>
  <c r="D207" i="3" a="1"/>
  <c r="D207" i="3" s="1"/>
  <c r="D208" i="3" a="1"/>
  <c r="D208" i="3"/>
  <c r="D209" i="3" a="1"/>
  <c r="D209" i="3"/>
  <c r="D210" i="3" a="1"/>
  <c r="D210" i="3"/>
  <c r="D211" i="3" a="1"/>
  <c r="D211" i="3"/>
  <c r="D212" i="3" a="1"/>
  <c r="D212" i="3"/>
  <c r="D213" i="3" a="1"/>
  <c r="D213" i="3" s="1"/>
  <c r="D214" i="3" a="1"/>
  <c r="D214" i="3"/>
  <c r="D215" i="3" a="1"/>
  <c r="D215" i="3"/>
  <c r="D216" i="3" a="1"/>
  <c r="D216" i="3"/>
  <c r="D217" i="3" a="1"/>
  <c r="D217" i="3"/>
  <c r="D218" i="3" a="1"/>
  <c r="D218" i="3"/>
  <c r="D219" i="3" a="1"/>
  <c r="D219" i="3" s="1"/>
  <c r="D220" i="3" a="1"/>
  <c r="D220" i="3"/>
  <c r="D221" i="3" a="1"/>
  <c r="D221" i="3"/>
  <c r="D222" i="3" a="1"/>
  <c r="D222" i="3"/>
  <c r="D223" i="3" a="1"/>
  <c r="D223" i="3"/>
  <c r="D224" i="3" a="1"/>
  <c r="D224" i="3"/>
  <c r="D225" i="3" a="1"/>
  <c r="D225" i="3" s="1"/>
  <c r="D226" i="3" a="1"/>
  <c r="D226" i="3"/>
  <c r="D227" i="3" a="1"/>
  <c r="D227" i="3"/>
  <c r="D228" i="3" a="1"/>
  <c r="D228" i="3"/>
  <c r="D229" i="3" a="1"/>
  <c r="D229" i="3"/>
  <c r="D230" i="3" a="1"/>
  <c r="D230" i="3"/>
  <c r="D231" i="3" a="1"/>
  <c r="D231" i="3" s="1"/>
  <c r="D232" i="3" a="1"/>
  <c r="D232" i="3"/>
  <c r="D233" i="3" a="1"/>
  <c r="D233" i="3"/>
  <c r="D234" i="3" a="1"/>
  <c r="D234" i="3"/>
  <c r="D235" i="3" a="1"/>
  <c r="D235" i="3"/>
  <c r="D236" i="3" a="1"/>
  <c r="D236" i="3"/>
  <c r="D237" i="3" a="1"/>
  <c r="D237" i="3" s="1"/>
  <c r="D238" i="3" a="1"/>
  <c r="D238" i="3"/>
  <c r="D239" i="3" a="1"/>
  <c r="D239" i="3"/>
  <c r="D240" i="3" a="1"/>
  <c r="D240" i="3"/>
  <c r="D241" i="3" a="1"/>
  <c r="D241" i="3"/>
  <c r="D242" i="3" a="1"/>
  <c r="D242" i="3"/>
  <c r="D243" i="3" a="1"/>
  <c r="D243" i="3" s="1"/>
  <c r="D244" i="3" a="1"/>
  <c r="D244" i="3"/>
  <c r="D245" i="3" a="1"/>
  <c r="D245" i="3"/>
  <c r="D246" i="3" a="1"/>
  <c r="D246" i="3"/>
  <c r="D247" i="3" a="1"/>
  <c r="D247" i="3"/>
  <c r="D248" i="3" a="1"/>
  <c r="D248" i="3"/>
  <c r="D249" i="3" a="1"/>
  <c r="D249" i="3" s="1"/>
  <c r="D250" i="3" a="1"/>
  <c r="D250" i="3"/>
  <c r="D251" i="3" a="1"/>
  <c r="D251" i="3"/>
  <c r="D252" i="3" a="1"/>
  <c r="D252" i="3"/>
  <c r="D253" i="3" a="1"/>
  <c r="D253" i="3"/>
  <c r="D254" i="3" a="1"/>
  <c r="D254" i="3"/>
  <c r="D255" i="3" a="1"/>
  <c r="D255" i="3" s="1"/>
  <c r="D256" i="3" a="1"/>
  <c r="D256" i="3"/>
  <c r="D257" i="3" a="1"/>
  <c r="D257" i="3"/>
  <c r="D258" i="3" a="1"/>
  <c r="D258" i="3"/>
  <c r="D259" i="3" a="1"/>
  <c r="D259" i="3"/>
  <c r="D260" i="3" a="1"/>
  <c r="D260" i="3"/>
  <c r="D261" i="3" a="1"/>
  <c r="D261" i="3" s="1"/>
  <c r="D262" i="3" a="1"/>
  <c r="D262" i="3"/>
  <c r="D263" i="3" a="1"/>
  <c r="D263" i="3"/>
  <c r="D264" i="3" a="1"/>
  <c r="D264" i="3"/>
  <c r="D265" i="3" a="1"/>
  <c r="D265" i="3"/>
  <c r="D266" i="3" a="1"/>
  <c r="D266" i="3"/>
  <c r="D267" i="3" a="1"/>
  <c r="D267" i="3" s="1"/>
  <c r="D268" i="3" a="1"/>
  <c r="D268" i="3"/>
  <c r="D269" i="3" a="1"/>
  <c r="D269" i="3"/>
  <c r="D270" i="3" a="1"/>
  <c r="D270" i="3"/>
  <c r="D271" i="3" a="1"/>
  <c r="D271" i="3"/>
  <c r="D272" i="3" a="1"/>
  <c r="D272" i="3"/>
  <c r="D273" i="3" a="1"/>
  <c r="D273" i="3" s="1"/>
  <c r="D274" i="3" a="1"/>
  <c r="D274" i="3"/>
  <c r="D275" i="3" a="1"/>
  <c r="D275" i="3"/>
  <c r="D276" i="3" a="1"/>
  <c r="D276" i="3"/>
  <c r="D277" i="3" a="1"/>
  <c r="D277" i="3"/>
  <c r="D278" i="3" a="1"/>
  <c r="D278" i="3"/>
  <c r="D279" i="3" a="1"/>
  <c r="D279" i="3" s="1"/>
  <c r="D280" i="3" a="1"/>
  <c r="D280" i="3"/>
  <c r="D281" i="3" a="1"/>
  <c r="D281" i="3"/>
  <c r="D282" i="3" a="1"/>
  <c r="D282" i="3"/>
  <c r="D283" i="3" a="1"/>
  <c r="D283" i="3"/>
  <c r="D284" i="3" a="1"/>
  <c r="D284" i="3"/>
  <c r="D285" i="3" a="1"/>
  <c r="D285" i="3" s="1"/>
  <c r="D286" i="3" a="1"/>
  <c r="D286" i="3"/>
  <c r="D287" i="3" a="1"/>
  <c r="D287" i="3"/>
  <c r="D288" i="3" a="1"/>
  <c r="D288" i="3"/>
  <c r="D289" i="3" a="1"/>
  <c r="D289" i="3"/>
  <c r="D290" i="3" a="1"/>
  <c r="D290" i="3"/>
  <c r="D291" i="3" a="1"/>
  <c r="D291" i="3" s="1"/>
  <c r="D292" i="3" a="1"/>
  <c r="D292" i="3"/>
  <c r="D293" i="3" a="1"/>
  <c r="D293" i="3"/>
  <c r="D294" i="3" a="1"/>
  <c r="D294" i="3"/>
  <c r="D295" i="3" a="1"/>
  <c r="D295" i="3"/>
  <c r="D296" i="3" a="1"/>
  <c r="D296" i="3"/>
  <c r="D297" i="3" a="1"/>
  <c r="D297" i="3" s="1"/>
  <c r="D298" i="3" a="1"/>
  <c r="D298" i="3"/>
  <c r="D299" i="3" a="1"/>
  <c r="D299" i="3"/>
  <c r="D300" i="3" a="1"/>
  <c r="D300" i="3"/>
  <c r="D301" i="3" a="1"/>
  <c r="D301" i="3"/>
  <c r="D302" i="3" a="1"/>
  <c r="D302" i="3"/>
  <c r="D303" i="3" a="1"/>
  <c r="D303" i="3" s="1"/>
  <c r="D304" i="3" a="1"/>
  <c r="D304" i="3"/>
  <c r="D305" i="3" a="1"/>
  <c r="D305" i="3"/>
  <c r="D306" i="3" a="1"/>
  <c r="D306" i="3"/>
  <c r="D307" i="3" a="1"/>
  <c r="D307" i="3"/>
  <c r="D308" i="3" a="1"/>
  <c r="D308" i="3"/>
  <c r="D309" i="3" a="1"/>
  <c r="D309" i="3" s="1"/>
  <c r="D310" i="3" a="1"/>
  <c r="D310" i="3"/>
  <c r="D311" i="3" a="1"/>
  <c r="D311" i="3"/>
  <c r="D312" i="3" a="1"/>
  <c r="D312" i="3"/>
  <c r="D313" i="3" a="1"/>
  <c r="D313" i="3"/>
  <c r="D314" i="3" a="1"/>
  <c r="D314" i="3"/>
  <c r="D315" i="3" a="1"/>
  <c r="D315" i="3" s="1"/>
  <c r="D316" i="3" a="1"/>
  <c r="D316" i="3"/>
  <c r="D317" i="3" a="1"/>
  <c r="D317" i="3"/>
  <c r="D318" i="3" a="1"/>
  <c r="D318" i="3"/>
  <c r="D319" i="3" a="1"/>
  <c r="D319" i="3"/>
  <c r="D320" i="3" a="1"/>
  <c r="D320" i="3"/>
  <c r="D321" i="3" a="1"/>
  <c r="D321" i="3" s="1"/>
  <c r="D322" i="3" a="1"/>
  <c r="D322" i="3" s="1"/>
  <c r="D323" i="3" a="1"/>
  <c r="D323" i="3"/>
  <c r="D324" i="3" a="1"/>
  <c r="D324" i="3"/>
  <c r="D325" i="3" a="1"/>
  <c r="D325" i="3"/>
  <c r="D326" i="3" a="1"/>
  <c r="D326" i="3"/>
  <c r="D327" i="3" a="1"/>
  <c r="D327" i="3" s="1"/>
  <c r="D328" i="3" a="1"/>
  <c r="D328" i="3" s="1"/>
  <c r="D329" i="3" a="1"/>
  <c r="D329" i="3"/>
  <c r="D330" i="3" a="1"/>
  <c r="D330" i="3"/>
  <c r="D331" i="3" a="1"/>
  <c r="D331" i="3"/>
  <c r="D332" i="3" a="1"/>
  <c r="D332" i="3"/>
  <c r="D333" i="3" a="1"/>
  <c r="D333" i="3" s="1"/>
  <c r="D334" i="3" a="1"/>
  <c r="D334" i="3" s="1"/>
  <c r="D335" i="3" a="1"/>
  <c r="D335" i="3"/>
  <c r="D336" i="3" a="1"/>
  <c r="D336" i="3"/>
  <c r="D337" i="3" a="1"/>
  <c r="D337" i="3"/>
  <c r="D338" i="3" a="1"/>
  <c r="D338" i="3"/>
  <c r="D339" i="3" a="1"/>
  <c r="D339" i="3" s="1"/>
  <c r="D340" i="3" a="1"/>
  <c r="D340" i="3" s="1"/>
  <c r="D341" i="3" a="1"/>
  <c r="D341" i="3"/>
  <c r="D342" i="3" a="1"/>
  <c r="D342" i="3"/>
  <c r="D343" i="3" a="1"/>
  <c r="D343" i="3"/>
  <c r="D344" i="3" a="1"/>
  <c r="D344" i="3"/>
  <c r="D345" i="3" a="1"/>
  <c r="D345" i="3" s="1"/>
  <c r="D346" i="3" a="1"/>
  <c r="D346" i="3" s="1"/>
  <c r="D347" i="3" a="1"/>
  <c r="D347" i="3"/>
  <c r="D348" i="3" a="1"/>
  <c r="D348" i="3"/>
  <c r="D349" i="3" a="1"/>
  <c r="D349" i="3"/>
  <c r="D350" i="3" a="1"/>
  <c r="D350" i="3"/>
  <c r="D351" i="3" a="1"/>
  <c r="D351" i="3" s="1"/>
  <c r="D352" i="3" a="1"/>
  <c r="D352" i="3" s="1"/>
  <c r="D353" i="3" a="1"/>
  <c r="D353" i="3"/>
  <c r="D354" i="3" a="1"/>
  <c r="D354" i="3"/>
  <c r="D355" i="3" a="1"/>
  <c r="D355" i="3"/>
  <c r="D356" i="3" a="1"/>
  <c r="D356" i="3"/>
  <c r="D357" i="3" a="1"/>
  <c r="D357" i="3" s="1"/>
  <c r="D358" i="3" a="1"/>
  <c r="D358" i="3" s="1"/>
  <c r="D359" i="3" a="1"/>
  <c r="D359" i="3"/>
  <c r="D360" i="3" a="1"/>
  <c r="D360" i="3"/>
  <c r="D361" i="3" a="1"/>
  <c r="D361" i="3"/>
  <c r="D362" i="3" a="1"/>
  <c r="D362" i="3"/>
  <c r="D363" i="3" a="1"/>
  <c r="D363" i="3" s="1"/>
  <c r="D364" i="3" a="1"/>
  <c r="D364" i="3" s="1"/>
  <c r="D365" i="3" a="1"/>
  <c r="D365" i="3"/>
  <c r="D366" i="3" a="1"/>
  <c r="D366" i="3"/>
  <c r="D367" i="3" a="1"/>
  <c r="D367" i="3"/>
  <c r="D368" i="3" a="1"/>
  <c r="D368" i="3"/>
  <c r="D369" i="3" a="1"/>
  <c r="D369" i="3" s="1"/>
  <c r="D370" i="3" a="1"/>
  <c r="D370" i="3" s="1"/>
  <c r="D371" i="3" a="1"/>
  <c r="D371" i="3"/>
  <c r="D372" i="3" a="1"/>
  <c r="D372" i="3"/>
  <c r="D373" i="3" a="1"/>
  <c r="D373" i="3"/>
  <c r="D374" i="3" a="1"/>
  <c r="D374" i="3"/>
  <c r="D375" i="3" a="1"/>
  <c r="D375" i="3" s="1"/>
  <c r="D376" i="3" a="1"/>
  <c r="D376" i="3" s="1"/>
  <c r="D377" i="3" a="1"/>
  <c r="D377" i="3"/>
  <c r="D378" i="3" a="1"/>
  <c r="D378" i="3"/>
  <c r="D379" i="3" a="1"/>
  <c r="D379" i="3"/>
  <c r="D380" i="3" a="1"/>
  <c r="D380" i="3"/>
  <c r="D381" i="3" a="1"/>
  <c r="D381" i="3" s="1"/>
  <c r="D382" i="3" a="1"/>
  <c r="D382" i="3" s="1"/>
  <c r="D383" i="3" a="1"/>
  <c r="D383" i="3"/>
  <c r="D384" i="3" a="1"/>
  <c r="D384" i="3"/>
  <c r="D385" i="3" a="1"/>
  <c r="D385" i="3"/>
  <c r="D386" i="3" a="1"/>
  <c r="D386" i="3"/>
  <c r="D387" i="3" a="1"/>
  <c r="D387" i="3" s="1"/>
  <c r="D388" i="3" a="1"/>
  <c r="D388" i="3" s="1"/>
  <c r="D389" i="3" a="1"/>
  <c r="D389" i="3"/>
  <c r="D390" i="3" a="1"/>
  <c r="D390" i="3"/>
  <c r="D391" i="3" a="1"/>
  <c r="D391" i="3"/>
  <c r="D392" i="3" a="1"/>
  <c r="D392" i="3"/>
  <c r="D393" i="3" a="1"/>
  <c r="D393" i="3" s="1"/>
  <c r="D394" i="3" a="1"/>
  <c r="D394" i="3" s="1"/>
  <c r="D395" i="3" a="1"/>
  <c r="D395" i="3"/>
  <c r="D396" i="3" a="1"/>
  <c r="D396" i="3"/>
  <c r="D397" i="3" a="1"/>
  <c r="D397" i="3"/>
  <c r="D398" i="3" a="1"/>
  <c r="D398" i="3"/>
  <c r="D399" i="3" a="1"/>
  <c r="D399" i="3" s="1"/>
  <c r="D400" i="3" a="1"/>
  <c r="D400" i="3" s="1"/>
  <c r="D401" i="3" a="1"/>
  <c r="D401" i="3"/>
  <c r="D402" i="3" a="1"/>
  <c r="D402" i="3"/>
  <c r="D403" i="3" a="1"/>
  <c r="D403" i="3"/>
  <c r="D404" i="3" a="1"/>
  <c r="D404" i="3"/>
  <c r="D405" i="3" a="1"/>
  <c r="D405" i="3" s="1"/>
  <c r="D406" i="3" a="1"/>
  <c r="D406" i="3" s="1"/>
  <c r="D407" i="3" a="1"/>
  <c r="D407" i="3"/>
  <c r="D408" i="3" a="1"/>
  <c r="D408" i="3"/>
  <c r="D409" i="3" a="1"/>
  <c r="D409" i="3"/>
  <c r="D410" i="3" a="1"/>
  <c r="D410" i="3"/>
  <c r="D411" i="3" a="1"/>
  <c r="D411" i="3" s="1"/>
  <c r="D412" i="3" a="1"/>
  <c r="D412" i="3" s="1"/>
  <c r="D413" i="3" a="1"/>
  <c r="D413" i="3"/>
  <c r="D414" i="3" a="1"/>
  <c r="D414" i="3"/>
  <c r="D415" i="3" a="1"/>
  <c r="D415" i="3"/>
  <c r="D416" i="3" a="1"/>
  <c r="D416" i="3"/>
  <c r="D417" i="3" a="1"/>
  <c r="D417" i="3" s="1"/>
  <c r="D418" i="3" a="1"/>
  <c r="D418" i="3" s="1"/>
  <c r="D419" i="3" a="1"/>
  <c r="D419" i="3"/>
  <c r="D420" i="3" a="1"/>
  <c r="D420" i="3"/>
  <c r="D421" i="3" a="1"/>
  <c r="D421" i="3"/>
  <c r="D422" i="3" a="1"/>
  <c r="D422" i="3"/>
  <c r="D423" i="3" a="1"/>
  <c r="D423" i="3" s="1"/>
  <c r="D424" i="3" a="1"/>
  <c r="D424" i="3" s="1"/>
  <c r="D425" i="3" a="1"/>
  <c r="D425" i="3"/>
  <c r="D426" i="3" a="1"/>
  <c r="D426" i="3"/>
  <c r="D427" i="3" a="1"/>
  <c r="D427" i="3"/>
  <c r="D428" i="3" a="1"/>
  <c r="D428" i="3"/>
  <c r="D429" i="3" a="1"/>
  <c r="D429" i="3" s="1"/>
  <c r="D430" i="3" a="1"/>
  <c r="D430" i="3" s="1"/>
  <c r="D431" i="3" a="1"/>
  <c r="D431" i="3"/>
  <c r="D432" i="3" a="1"/>
  <c r="D432" i="3"/>
  <c r="D433" i="3" a="1"/>
  <c r="D433" i="3"/>
  <c r="D434" i="3" a="1"/>
  <c r="D434" i="3"/>
  <c r="D435" i="3" a="1"/>
  <c r="D435" i="3" s="1"/>
  <c r="D436" i="3" a="1"/>
  <c r="D436" i="3" s="1"/>
  <c r="D437" i="3" a="1"/>
  <c r="D437" i="3"/>
  <c r="D438" i="3" a="1"/>
  <c r="D438" i="3"/>
  <c r="D439" i="3" a="1"/>
  <c r="D439" i="3"/>
  <c r="D440" i="3" a="1"/>
  <c r="D440" i="3"/>
  <c r="D441" i="3" a="1"/>
  <c r="D441" i="3" s="1"/>
  <c r="D442" i="3" a="1"/>
  <c r="D442" i="3" s="1"/>
  <c r="D443" i="3" a="1"/>
  <c r="D443" i="3"/>
  <c r="D444" i="3" a="1"/>
  <c r="D444" i="3"/>
  <c r="D445" i="3" a="1"/>
  <c r="D445" i="3"/>
  <c r="D446" i="3" a="1"/>
  <c r="D446" i="3"/>
  <c r="D447" i="3" a="1"/>
  <c r="D447" i="3" s="1"/>
  <c r="D448" i="3" a="1"/>
  <c r="D448" i="3" s="1"/>
  <c r="D449" i="3" a="1"/>
  <c r="D449" i="3"/>
  <c r="D450" i="3" a="1"/>
  <c r="D450" i="3"/>
  <c r="D451" i="3" a="1"/>
  <c r="D451" i="3"/>
  <c r="D452" i="3" a="1"/>
  <c r="D452" i="3"/>
  <c r="D453" i="3" a="1"/>
  <c r="D453" i="3" s="1"/>
  <c r="D454" i="3" a="1"/>
  <c r="D454" i="3" s="1"/>
  <c r="D455" i="3" a="1"/>
  <c r="D455" i="3"/>
  <c r="D456" i="3" a="1"/>
  <c r="D456" i="3"/>
  <c r="D457" i="3" a="1"/>
  <c r="D457" i="3"/>
  <c r="D458" i="3" a="1"/>
  <c r="D458" i="3"/>
  <c r="D459" i="3" a="1"/>
  <c r="D459" i="3" s="1"/>
  <c r="D460" i="3" a="1"/>
  <c r="D460" i="3" s="1"/>
  <c r="D461" i="3" a="1"/>
  <c r="D461" i="3"/>
  <c r="D462" i="3" a="1"/>
  <c r="D462" i="3"/>
  <c r="D463" i="3" a="1"/>
  <c r="D463" i="3"/>
  <c r="D464" i="3" a="1"/>
  <c r="D464" i="3"/>
  <c r="D465" i="3" a="1"/>
  <c r="D465" i="3" s="1"/>
  <c r="D466" i="3" a="1"/>
  <c r="D466" i="3" s="1"/>
  <c r="D467" i="3" a="1"/>
  <c r="D467" i="3"/>
  <c r="D468" i="3" a="1"/>
  <c r="D468" i="3"/>
  <c r="D469" i="3" a="1"/>
  <c r="D469" i="3"/>
  <c r="D470" i="3" a="1"/>
  <c r="D470" i="3"/>
  <c r="D471" i="3" a="1"/>
  <c r="D471" i="3" s="1"/>
  <c r="D472" i="3" a="1"/>
  <c r="D472" i="3" s="1"/>
  <c r="D473" i="3" a="1"/>
  <c r="D473" i="3"/>
  <c r="D474" i="3" a="1"/>
  <c r="D474" i="3"/>
  <c r="D475" i="3" a="1"/>
  <c r="D475" i="3"/>
  <c r="D476" i="3" a="1"/>
  <c r="D476" i="3"/>
  <c r="D477" i="3" a="1"/>
  <c r="D477" i="3" s="1"/>
  <c r="D478" i="3" a="1"/>
  <c r="D478" i="3" s="1"/>
  <c r="D479" i="3" a="1"/>
  <c r="D479" i="3"/>
  <c r="D480" i="3" a="1"/>
  <c r="D480" i="3"/>
  <c r="D481" i="3" a="1"/>
  <c r="D481" i="3"/>
  <c r="D482" i="3" a="1"/>
  <c r="D482" i="3"/>
  <c r="D483" i="3" a="1"/>
  <c r="D483" i="3" s="1"/>
  <c r="D484" i="3" a="1"/>
  <c r="D484" i="3" s="1"/>
  <c r="D485" i="3" a="1"/>
  <c r="D485" i="3"/>
  <c r="D486" i="3" a="1"/>
  <c r="D486" i="3"/>
  <c r="D487" i="3" a="1"/>
  <c r="D487" i="3"/>
  <c r="D488" i="3" a="1"/>
  <c r="D488" i="3"/>
  <c r="D489" i="3" a="1"/>
  <c r="D489" i="3" s="1"/>
  <c r="D490" i="3" a="1"/>
  <c r="D490" i="3" s="1"/>
  <c r="D491" i="3" a="1"/>
  <c r="D491" i="3"/>
  <c r="D492" i="3" a="1"/>
  <c r="D492" i="3"/>
  <c r="D493" i="3" a="1"/>
  <c r="D493" i="3"/>
  <c r="D494" i="3" a="1"/>
  <c r="D494" i="3"/>
  <c r="D495" i="3" a="1"/>
  <c r="D495" i="3" s="1"/>
  <c r="D496" i="3" a="1"/>
  <c r="D496" i="3" s="1"/>
  <c r="D497" i="3" a="1"/>
  <c r="D497" i="3"/>
  <c r="D498" i="3" a="1"/>
  <c r="D498" i="3"/>
  <c r="D499" i="3" a="1"/>
  <c r="D499" i="3"/>
  <c r="D500" i="3" a="1"/>
  <c r="D500" i="3"/>
  <c r="D501" i="3" a="1"/>
  <c r="D501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<sst xmlns="http://schemas.openxmlformats.org/spreadsheetml/2006/main" count="7141" uniqueCount="3111">
  <si>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</si>
  <si>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</si>
  <si>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</si>
  <si>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</si>
  <si>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</si>
  <si>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</si>
  <si>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</si>
  <si>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</si>
  <si>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</si>
  <si>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</si>
  <si>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</si>
  <si>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</si>
  <si>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</si>
  <si>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</si>
  <si>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</si>
  <si>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</si>
  <si>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</si>
  <si>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</si>
  <si>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</si>
  <si>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</si>
  <si>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</si>
  <si>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</si>
  <si>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</si>
  <si>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</si>
  <si>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</si>
  <si>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</si>
  <si>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</si>
  <si>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</si>
  <si>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</si>
  <si>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</si>
  <si>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</si>
  <si>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</si>
  <si>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</si>
  <si>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</si>
  <si>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</si>
  <si>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</si>
  <si>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</si>
  <si>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</si>
  <si>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</si>
  <si>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</si>
  <si>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</si>
  <si>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</si>
  <si>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</si>
  <si>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</si>
  <si>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</si>
  <si>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</si>
  <si>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</si>
  <si>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</si>
  <si>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</si>
  <si>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</si>
  <si>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</si>
  <si>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</si>
  <si>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</si>
  <si>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</si>
  <si>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</si>
  <si>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</si>
  <si>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</si>
  <si>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</si>
  <si>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</si>
  <si>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</si>
  <si>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</si>
  <si>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</si>
  <si>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</si>
  <si>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</si>
  <si>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</si>
  <si>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</si>
  <si>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</si>
  <si>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</si>
  <si>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</si>
  <si>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</si>
  <si>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</si>
  <si>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</si>
  <si>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</si>
  <si>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</si>
  <si>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</si>
  <si>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</si>
  <si>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</si>
  <si>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</si>
  <si>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</si>
  <si>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</si>
  <si>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</si>
  <si>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</si>
  <si>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</si>
  <si>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</si>
  <si>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</si>
  <si>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</si>
  <si>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</si>
  <si>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</si>
  <si>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</si>
  <si>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</si>
  <si>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</si>
  <si>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</si>
  <si>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</si>
  <si>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</si>
  <si>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</si>
  <si>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</si>
  <si>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</si>
  <si>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</si>
  <si>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</si>
  <si>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</si>
  <si>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</si>
  <si>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</si>
  <si>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</si>
  <si>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</si>
  <si>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</si>
  <si>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</si>
  <si>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</si>
  <si>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</si>
  <si>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</si>
  <si>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</si>
  <si>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</si>
  <si>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</si>
  <si>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</si>
  <si>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</si>
  <si>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</si>
  <si>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</si>
  <si>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</si>
  <si>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</si>
  <si>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</si>
  <si>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</si>
  <si>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</si>
  <si>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</si>
  <si>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</si>
  <si>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</si>
  <si>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</si>
  <si>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</si>
  <si>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</si>
  <si>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</si>
  <si>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</si>
  <si>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</si>
  <si>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</si>
  <si>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</si>
  <si>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</si>
  <si>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</si>
  <si>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</si>
  <si>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</si>
  <si>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</si>
  <si>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</si>
  <si>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</si>
  <si>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</si>
  <si>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</si>
  <si>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</si>
  <si>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</si>
  <si>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</si>
  <si>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</si>
  <si>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</si>
  <si>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</si>
  <si>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</si>
  <si>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</si>
  <si>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</si>
  <si>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</si>
  <si>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</si>
  <si>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</si>
  <si>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</si>
  <si>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</si>
  <si>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</si>
  <si>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</si>
  <si>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</si>
  <si>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</si>
  <si>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</si>
  <si>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</si>
  <si>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</si>
  <si>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</si>
  <si>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</si>
  <si>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</si>
  <si>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</si>
  <si>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</si>
  <si>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</si>
  <si>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</si>
  <si>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</si>
  <si>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</si>
  <si>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</si>
  <si>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</si>
  <si>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</si>
  <si>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</si>
  <si>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</si>
  <si>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</si>
  <si>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</si>
  <si>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</si>
  <si>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</si>
  <si>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</si>
  <si>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</si>
  <si>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</si>
  <si>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</si>
  <si>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</si>
  <si>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</si>
  <si>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</si>
  <si>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</si>
  <si>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</si>
  <si>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</si>
  <si>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</si>
  <si>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</si>
  <si>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</si>
  <si>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</si>
  <si>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</si>
  <si>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</si>
  <si>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</si>
  <si>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</si>
  <si>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</si>
  <si>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</si>
  <si>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</si>
  <si>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</si>
  <si>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</si>
  <si>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</si>
  <si>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</si>
  <si>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</si>
  <si>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</si>
  <si>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</si>
  <si>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</si>
  <si>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</si>
  <si>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</si>
  <si>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</si>
  <si>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</si>
  <si>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</si>
  <si>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</si>
  <si>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</si>
  <si>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</si>
  <si>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</si>
  <si>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</si>
  <si>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</si>
  <si>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</si>
  <si>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</si>
  <si>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</si>
  <si>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</si>
  <si>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</si>
  <si>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</si>
  <si>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</si>
  <si>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</si>
  <si>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</si>
  <si>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</si>
  <si>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</si>
  <si>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</si>
  <si>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</si>
  <si>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</si>
  <si>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</si>
  <si>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</si>
  <si>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</si>
  <si>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</si>
  <si>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</si>
  <si>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</si>
  <si>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</si>
  <si>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</si>
  <si>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</si>
  <si>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</si>
  <si>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</si>
  <si>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</si>
  <si>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</si>
  <si>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</si>
  <si>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</si>
  <si>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</si>
  <si>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</si>
  <si>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</si>
  <si>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</si>
  <si>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</si>
  <si>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</si>
  <si>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</si>
  <si>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</si>
  <si>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</si>
  <si>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</si>
  <si>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</si>
  <si>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</si>
  <si>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</si>
  <si>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</si>
  <si>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</si>
  <si>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</si>
  <si>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</si>
  <si>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</si>
  <si>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</si>
  <si>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</si>
  <si>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</si>
  <si>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</si>
  <si>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</si>
  <si>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</si>
  <si>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</si>
  <si>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</si>
  <si>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</si>
  <si>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</si>
  <si>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</si>
  <si>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</si>
  <si>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</si>
  <si>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</si>
  <si>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</si>
  <si>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</si>
  <si>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</si>
  <si>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</si>
  <si>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</si>
  <si>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</si>
  <si>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</si>
  <si>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</si>
  <si>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</si>
  <si>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</si>
  <si>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</si>
  <si>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</si>
  <si>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</si>
  <si>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</si>
  <si>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</si>
  <si>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</si>
  <si>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</si>
  <si>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</si>
  <si>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</si>
  <si>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</si>
  <si>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</si>
  <si>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</si>
  <si>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</si>
  <si>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</si>
  <si>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</si>
  <si>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</si>
  <si>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</si>
  <si>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</si>
  <si>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</si>
  <si>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</si>
  <si>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</si>
  <si>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</si>
  <si>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</si>
  <si>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</si>
  <si>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</si>
  <si>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</si>
  <si>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</si>
  <si>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</si>
  <si>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</si>
  <si>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</si>
  <si>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</si>
  <si>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</si>
  <si>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</si>
  <si>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</si>
  <si>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</si>
  <si>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</si>
  <si>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</si>
  <si>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</si>
  <si>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</si>
  <si>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</si>
  <si>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</si>
  <si>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</si>
  <si>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</si>
  <si>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</si>
  <si>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</si>
  <si>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</si>
  <si>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</si>
  <si>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</si>
  <si>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</si>
  <si>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</si>
  <si>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</si>
  <si>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</si>
  <si>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</si>
  <si>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</si>
  <si>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</si>
  <si>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</si>
  <si>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</si>
  <si>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</si>
  <si>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</si>
  <si>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</si>
  <si>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</si>
  <si>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</si>
  <si>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</si>
  <si>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</si>
  <si>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</si>
  <si>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</si>
  <si>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</si>
  <si>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</si>
  <si>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</si>
  <si>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</si>
  <si>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</si>
  <si>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</si>
  <si>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</si>
  <si>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</si>
  <si>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</si>
  <si>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</si>
  <si>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</si>
  <si>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</si>
  <si>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</si>
  <si>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</si>
  <si>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</si>
  <si>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</si>
  <si>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</si>
  <si>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</si>
  <si>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</si>
  <si>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</si>
  <si>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</si>
  <si>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</si>
  <si>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</si>
  <si>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</si>
  <si>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</si>
  <si>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</si>
  <si>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</si>
  <si>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</si>
  <si>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</si>
  <si>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</si>
  <si>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</si>
  <si>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</si>
  <si>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</si>
  <si>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</si>
  <si>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</si>
  <si>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</si>
  <si>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</si>
  <si>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</si>
  <si>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</si>
  <si>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</si>
  <si>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</si>
  <si>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</si>
  <si>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</si>
  <si>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</si>
  <si>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</si>
  <si>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</si>
  <si>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</si>
  <si>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</si>
  <si>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</si>
  <si>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</si>
  <si>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</si>
  <si>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</si>
  <si>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</si>
  <si>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</si>
  <si>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</si>
  <si>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</si>
  <si>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</si>
  <si>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</si>
  <si>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</si>
  <si>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</si>
  <si>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</si>
  <si>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</si>
  <si>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</si>
  <si>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</si>
  <si>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</si>
  <si>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</si>
  <si>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</si>
  <si>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</si>
  <si>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</si>
  <si>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</si>
  <si>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</si>
  <si>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</si>
  <si>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</si>
  <si>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</si>
  <si>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</si>
  <si>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</si>
  <si>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</si>
  <si>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</si>
  <si>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</si>
  <si>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</si>
  <si>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</si>
  <si>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</si>
  <si>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</si>
  <si>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</si>
  <si>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</si>
  <si>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</si>
  <si>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</si>
  <si>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</si>
  <si>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</si>
  <si>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</si>
  <si>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</si>
  <si>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</si>
  <si>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</si>
  <si>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</si>
  <si>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</si>
  <si>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</si>
  <si>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</si>
  <si>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</si>
  <si>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</si>
  <si>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</si>
  <si>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</si>
  <si>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</si>
  <si>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</si>
  <si>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</si>
  <si>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</si>
  <si>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</si>
  <si>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</si>
  <si>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</si>
  <si>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</si>
  <si>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</si>
  <si>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</si>
  <si>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</si>
  <si>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</si>
  <si>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</si>
  <si>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</si>
  <si>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</si>
  <si>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</si>
  <si>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</si>
  <si>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</si>
  <si>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</si>
  <si>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</si>
  <si>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</si>
  <si>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</si>
  <si>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</si>
  <si>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</si>
  <si>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</si>
  <si>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</si>
  <si>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</si>
  <si>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</si>
  <si>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</si>
  <si>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</si>
  <si>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</si>
  <si>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</si>
  <si>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</si>
  <si>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</si>
  <si>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</si>
  <si>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</si>
  <si>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</si>
  <si>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</si>
  <si>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</si>
  <si>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</si>
  <si>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</si>
  <si>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</si>
  <si>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</si>
  <si>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</si>
  <si>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</si>
  <si>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</si>
  <si>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</si>
  <si>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</si>
  <si>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</si>
  <si>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</si>
  <si>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</si>
  <si>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</si>
  <si>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</si>
  <si>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</si>
  <si>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</si>
  <si>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</si>
  <si>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</si>
  <si>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</si>
  <si>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</si>
  <si>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</si>
  <si>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</si>
  <si>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</si>
  <si>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</si>
  <si>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</si>
  <si>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</si>
  <si>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</si>
  <si>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</si>
  <si>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</si>
  <si>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</si>
  <si>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</si>
  <si>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</si>
  <si>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</si>
  <si>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</si>
  <si>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</si>
  <si>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</si>
  <si>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</si>
  <si>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</si>
  <si>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</si>
  <si>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</si>
  <si>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</si>
  <si>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</si>
  <si>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</si>
  <si>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</si>
  <si>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</si>
  <si>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</si>
  <si>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</si>
  <si>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</si>
  <si>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</si>
  <si>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</si>
  <si>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</si>
  <si>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</si>
  <si>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</si>
  <si>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</si>
  <si>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</si>
  <si>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</si>
  <si>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</si>
  <si>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</si>
  <si>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</si>
  <si>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</si>
  <si>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</si>
  <si>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</si>
  <si>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</si>
  <si>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</si>
  <si>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</si>
  <si>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</si>
  <si>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</si>
  <si>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</si>
  <si>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</si>
  <si>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</si>
  <si>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</si>
  <si>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</si>
  <si>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</si>
  <si>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</si>
  <si>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</si>
  <si>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</si>
  <si>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</si>
  <si>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</si>
  <si>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</si>
  <si>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</si>
  <si>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</si>
  <si>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</si>
  <si>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</si>
  <si>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</si>
  <si>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</si>
  <si>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</si>
  <si>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</si>
  <si>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</si>
  <si>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</si>
  <si>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</si>
  <si>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</si>
  <si>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</si>
  <si>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</si>
  <si>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</si>
  <si>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</si>
  <si>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</si>
  <si>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</si>
  <si>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</si>
  <si>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</si>
  <si>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</si>
  <si>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</si>
  <si>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</si>
  <si>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</si>
  <si>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</si>
  <si>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</si>
  <si>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</si>
  <si>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</si>
  <si>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</si>
  <si>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</si>
  <si>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</si>
  <si>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</si>
  <si>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</si>
  <si>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</si>
  <si>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</si>
  <si>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</si>
  <si>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</si>
  <si>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</si>
  <si>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</si>
  <si>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</si>
  <si>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</si>
  <si>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</si>
  <si>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</si>
  <si>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</si>
  <si>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</si>
  <si>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</si>
  <si>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</si>
  <si>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</si>
  <si>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</si>
  <si>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</si>
  <si>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</si>
  <si>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</si>
  <si>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</si>
  <si>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</si>
  <si>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</si>
  <si>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</si>
  <si>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</si>
  <si>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</si>
  <si>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</si>
  <si>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</si>
  <si>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</si>
  <si>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</si>
  <si>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</si>
  <si>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</si>
  <si>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</si>
  <si>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</si>
  <si>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</si>
  <si>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</si>
  <si>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</si>
  <si>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</si>
  <si>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</si>
  <si>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</si>
  <si>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</si>
  <si>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</si>
  <si>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</si>
  <si>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</si>
  <si>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</si>
  <si>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</si>
  <si>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</si>
  <si>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</si>
  <si>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</si>
  <si>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</si>
  <si>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</si>
  <si>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</si>
  <si>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</si>
  <si>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</si>
  <si>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</si>
  <si>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</si>
  <si>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</si>
  <si>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</si>
  <si>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</si>
  <si>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</si>
  <si>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</si>
  <si>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</si>
  <si>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</si>
  <si>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</si>
  <si>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</si>
  <si>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</si>
  <si>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</si>
  <si>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</si>
  <si>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</si>
  <si>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</si>
  <si>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</si>
  <si>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</si>
  <si>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</si>
  <si>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</si>
  <si>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</si>
  <si>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</si>
  <si>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</si>
  <si>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</si>
  <si>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</si>
  <si>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</si>
  <si>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</si>
  <si>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</si>
  <si>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</si>
  <si>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</si>
  <si>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</si>
  <si>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</si>
  <si>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</si>
  <si>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</si>
  <si>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</si>
  <si>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</si>
  <si>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</si>
  <si>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</si>
  <si>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</si>
  <si>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</si>
  <si>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</si>
  <si>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</si>
  <si>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</si>
  <si>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</si>
  <si>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</si>
  <si>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</si>
  <si>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</si>
  <si>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</si>
  <si>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</si>
  <si>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</si>
  <si>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</si>
  <si>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</si>
  <si>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</si>
  <si>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</si>
  <si>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</si>
  <si>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</si>
  <si>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</si>
  <si>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</si>
  <si>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</si>
  <si>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</si>
  <si>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</si>
  <si>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</si>
  <si>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</si>
  <si>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</si>
  <si>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</si>
  <si>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</si>
  <si>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</si>
  <si>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</si>
  <si>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</si>
  <si>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</si>
  <si>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</si>
  <si>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</si>
  <si>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</si>
  <si>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</si>
  <si>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</si>
  <si>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</si>
  <si>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</si>
  <si>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</si>
  <si>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</si>
  <si>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</si>
  <si>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</si>
  <si>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</si>
  <si>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</si>
  <si>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</si>
  <si>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</si>
  <si>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</si>
  <si>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</si>
  <si>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</si>
  <si>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</si>
  <si>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</si>
  <si>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</si>
  <si>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</si>
  <si>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</si>
  <si>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</si>
  <si>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</si>
  <si>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</si>
  <si>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</si>
  <si>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</si>
  <si>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</si>
  <si>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</si>
  <si>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</si>
  <si>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</si>
  <si>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</si>
  <si>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</si>
  <si>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</si>
  <si>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</si>
  <si>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</si>
  <si>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</si>
  <si>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</si>
  <si>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</si>
  <si>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</si>
  <si>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</si>
  <si>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</si>
  <si>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</si>
  <si>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</si>
  <si>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</si>
  <si>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</si>
  <si>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</si>
  <si>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</si>
  <si>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</si>
  <si>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</si>
  <si>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</si>
  <si>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</si>
  <si>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</si>
  <si>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</si>
  <si>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</si>
  <si>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</si>
  <si>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</si>
  <si>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</si>
  <si>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</si>
  <si>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</si>
  <si>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</si>
  <si>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</si>
  <si>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</si>
  <si>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</si>
  <si>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</si>
  <si>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</si>
  <si>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</si>
  <si>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</si>
  <si>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</si>
  <si>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</si>
  <si>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</si>
  <si>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</si>
  <si>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</si>
  <si>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</si>
  <si>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</si>
  <si>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</si>
  <si>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</si>
  <si>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</si>
  <si>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</si>
  <si>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</si>
  <si>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</si>
  <si>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</si>
  <si>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</si>
  <si>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</si>
  <si>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</si>
  <si>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</si>
  <si>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</si>
  <si>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</si>
  <si>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</si>
  <si>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</si>
  <si>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</si>
  <si>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</si>
  <si>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</si>
  <si>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</si>
  <si>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</si>
  <si>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</si>
  <si>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</si>
  <si>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</si>
  <si>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</si>
  <si>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</si>
  <si>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</si>
  <si>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</si>
  <si>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</si>
  <si>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</si>
  <si>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</si>
  <si>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</si>
  <si>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</si>
  <si>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</si>
  <si>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</si>
  <si>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</si>
  <si>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</si>
  <si>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</si>
  <si>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</si>
  <si>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</si>
  <si>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</si>
  <si>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</si>
  <si>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</si>
  <si>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</si>
  <si>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</si>
  <si>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</si>
  <si>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</si>
  <si>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</si>
  <si>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</si>
  <si>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</si>
  <si>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</si>
  <si>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</si>
  <si>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</si>
  <si>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</si>
  <si>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</si>
  <si>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</si>
  <si>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</si>
  <si>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</si>
  <si>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</si>
  <si>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</si>
  <si>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</si>
  <si>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</si>
  <si>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</si>
  <si>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</si>
  <si>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</si>
  <si>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</si>
  <si>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</si>
  <si>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</si>
  <si>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</si>
  <si>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</si>
  <si>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</si>
  <si>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</si>
  <si>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</si>
  <si>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</si>
  <si>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</si>
  <si>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</si>
  <si>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</si>
  <si>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</si>
  <si>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</si>
  <si>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</si>
  <si>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</si>
  <si>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</si>
  <si>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</si>
  <si>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</si>
  <si>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</si>
  <si>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</si>
  <si>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</si>
  <si>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</si>
  <si>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</si>
  <si>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</si>
  <si>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</si>
  <si>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</si>
  <si>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</si>
  <si>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</si>
  <si>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</si>
  <si>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</si>
  <si>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</si>
  <si>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</si>
  <si>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</si>
  <si>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</si>
  <si>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</si>
  <si>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</si>
  <si>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</si>
  <si>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</si>
  <si>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</si>
  <si>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</si>
  <si>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</si>
  <si>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</si>
  <si>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</si>
  <si>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</si>
  <si>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</si>
  <si>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</si>
  <si>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</si>
  <si>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</si>
  <si>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</si>
  <si>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</si>
  <si>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</si>
  <si>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</si>
  <si>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</si>
  <si>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</si>
  <si>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</si>
  <si>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</si>
  <si>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</si>
  <si>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</si>
  <si>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</si>
  <si>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</si>
  <si>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</si>
  <si>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</si>
  <si>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</si>
  <si>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</si>
  <si>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</si>
  <si>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</si>
  <si>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</si>
  <si>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</si>
  <si>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</si>
  <si>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</si>
  <si>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</si>
  <si>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</si>
  <si>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</si>
  <si>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</si>
  <si>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</si>
  <si>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</si>
  <si>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</si>
  <si>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</si>
  <si>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</si>
  <si>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</si>
  <si>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</si>
  <si>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</si>
  <si>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</si>
  <si>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</si>
  <si>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</si>
  <si>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</si>
  <si>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</si>
  <si>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</si>
  <si>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</si>
  <si>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</si>
  <si>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</si>
  <si>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</si>
  <si>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</si>
  <si>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</si>
  <si>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</si>
  <si>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</si>
  <si>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</si>
  <si>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</si>
  <si>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</si>
  <si>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</si>
  <si>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</si>
  <si>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</si>
  <si>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</si>
  <si>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</si>
  <si>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</si>
  <si>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</si>
  <si>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</si>
  <si>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</si>
  <si>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</si>
  <si>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</si>
  <si>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</si>
  <si>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</si>
  <si>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</si>
  <si>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</si>
  <si>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</si>
  <si>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</si>
  <si>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</si>
  <si>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</si>
  <si>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</si>
  <si>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</si>
  <si>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</si>
  <si>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</si>
  <si>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</si>
  <si>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</si>
  <si>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</si>
  <si>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</si>
  <si>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</si>
  <si>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</si>
  <si>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</si>
  <si>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</si>
  <si>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</si>
  <si>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</si>
  <si>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</si>
  <si>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</si>
  <si>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</si>
  <si>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</si>
  <si>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</si>
  <si>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</si>
  <si>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</si>
  <si>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</si>
  <si>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</si>
  <si>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</si>
  <si>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</si>
  <si>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</si>
  <si>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</si>
  <si>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</si>
  <si>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</si>
  <si>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</si>
  <si>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</si>
  <si>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</si>
  <si>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</si>
  <si>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</si>
  <si>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</si>
  <si>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</si>
  <si>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</si>
  <si>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</si>
  <si>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</si>
  <si>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</si>
  <si>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</si>
  <si>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</si>
  <si>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</si>
  <si>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</si>
  <si>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</si>
  <si>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</si>
  <si>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</si>
  <si>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</si>
  <si>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</si>
  <si>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</si>
  <si>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</si>
  <si>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</si>
  <si>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</si>
  <si>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</si>
  <si>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</si>
  <si>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</si>
  <si>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</si>
  <si>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</si>
  <si>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</si>
  <si>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</si>
  <si>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</si>
  <si>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</si>
  <si>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</si>
  <si>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</si>
  <si>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</si>
  <si>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</si>
  <si>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</si>
  <si>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</si>
  <si>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</si>
  <si>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</si>
  <si>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</si>
  <si>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</si>
  <si>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</si>
  <si>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</si>
  <si>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</si>
  <si>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</si>
  <si>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</si>
  <si>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</si>
  <si>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</si>
  <si>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</si>
  <si>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</si>
  <si>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</si>
  <si>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</si>
  <si>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</si>
  <si>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</si>
  <si>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</si>
  <si>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</si>
  <si>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</si>
  <si>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</si>
  <si>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</si>
  <si>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</si>
  <si>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</si>
  <si>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</si>
  <si>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</si>
  <si>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</si>
  <si>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</si>
  <si>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</si>
  <si>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</si>
  <si>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</si>
  <si>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</si>
  <si>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</si>
  <si>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</si>
  <si>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</si>
  <si>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</si>
  <si>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</si>
  <si>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</si>
  <si>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</si>
  <si>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</si>
  <si>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</si>
  <si>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</si>
  <si>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</si>
  <si>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</si>
  <si>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</si>
  <si>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</si>
  <si>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</si>
  <si>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</si>
  <si>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</si>
  <si>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</si>
  <si>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</si>
  <si>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</si>
  <si>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</si>
  <si>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</si>
  <si>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</si>
  <si>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</si>
  <si>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</si>
  <si>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</si>
  <si>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</si>
  <si>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</si>
  <si>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</si>
  <si>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</si>
  <si>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</si>
  <si>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</si>
  <si>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</si>
  <si>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</si>
  <si>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</si>
  <si>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</si>
  <si>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</si>
  <si>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</si>
  <si>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</si>
  <si>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</si>
  <si>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</si>
  <si>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</si>
  <si>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</si>
  <si>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</si>
  <si>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</si>
  <si>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</si>
  <si>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</si>
  <si>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</si>
  <si>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</si>
  <si>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</si>
  <si>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</si>
  <si>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</si>
  <si>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</si>
  <si>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</si>
  <si>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</si>
  <si>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</si>
  <si>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</si>
  <si>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</si>
  <si>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</si>
  <si>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</si>
  <si>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</si>
  <si>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</si>
  <si>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</si>
  <si>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</si>
  <si>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</si>
  <si>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</si>
  <si>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</si>
  <si>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</si>
  <si>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</si>
  <si>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</si>
  <si>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</si>
  <si>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</si>
  <si>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</si>
  <si>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</si>
  <si>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</si>
  <si>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</si>
  <si>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</si>
  <si>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</si>
  <si>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</si>
  <si>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</si>
  <si>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</si>
  <si>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</si>
  <si>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</si>
  <si>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</si>
  <si>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</si>
  <si>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</si>
  <si>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</si>
  <si>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</si>
  <si>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</si>
  <si>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</si>
  <si>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</si>
  <si>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</si>
  <si>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</si>
  <si>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</si>
  <si>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</si>
  <si>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</si>
  <si>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</si>
  <si>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</si>
  <si>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</si>
  <si>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</si>
  <si>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</si>
  <si>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</si>
  <si>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</si>
  <si>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</si>
  <si>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</si>
  <si>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</si>
  <si>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</si>
  <si>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</si>
  <si>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</si>
  <si>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</si>
  <si>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</si>
  <si>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</si>
  <si>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</si>
  <si>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</si>
  <si>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</si>
  <si>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</si>
  <si>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</si>
  <si>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</si>
  <si>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</si>
  <si>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</si>
  <si>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</si>
  <si>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</si>
  <si>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</si>
  <si>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</si>
  <si>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</si>
  <si>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</si>
  <si>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</si>
  <si>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</si>
  <si>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</si>
  <si>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</si>
  <si>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</si>
  <si>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</si>
  <si>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</si>
  <si>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</si>
  <si>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</si>
  <si>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</si>
  <si>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</si>
  <si>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</si>
  <si>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</si>
  <si>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</si>
  <si>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</si>
  <si>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</si>
  <si>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</si>
  <si>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</si>
  <si>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</si>
  <si>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</si>
  <si>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</si>
  <si>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</si>
  <si>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</si>
  <si>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</si>
  <si>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</si>
  <si>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</si>
  <si>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</si>
  <si>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</si>
  <si>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</si>
  <si>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</si>
  <si>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</si>
  <si>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</si>
  <si>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</si>
  <si>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</si>
  <si>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</si>
  <si>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</si>
  <si>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</si>
  <si>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</si>
  <si>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</si>
  <si>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</si>
  <si>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</si>
  <si>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</si>
  <si>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</si>
  <si>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</si>
  <si>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</si>
  <si>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</si>
  <si>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</si>
  <si>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</si>
  <si>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</si>
  <si>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</si>
  <si>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</si>
  <si>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</si>
  <si>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</si>
  <si>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</si>
  <si>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</si>
  <si>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</si>
  <si>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</si>
  <si>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</si>
  <si>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</si>
  <si>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</si>
  <si>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</si>
  <si>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</si>
  <si>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</si>
  <si>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</si>
  <si>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</si>
  <si>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</si>
  <si>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</si>
  <si>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</si>
  <si>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</si>
  <si>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</si>
  <si>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</si>
  <si>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</si>
  <si>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</si>
  <si>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</si>
  <si>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</si>
  <si>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</si>
  <si>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</si>
  <si>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</si>
  <si>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</si>
  <si>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</si>
  <si>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</si>
  <si>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</si>
  <si>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</si>
  <si>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</si>
  <si>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</si>
  <si>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</si>
  <si>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</si>
  <si>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</si>
  <si>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</si>
  <si>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</si>
  <si>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</si>
  <si>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</si>
  <si>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</si>
  <si>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</si>
  <si>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</si>
  <si>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</si>
  <si>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</si>
  <si>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</si>
  <si>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</si>
  <si>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</si>
  <si>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</si>
  <si>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</si>
  <si>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</si>
  <si>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</si>
  <si>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</si>
  <si>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</si>
  <si>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</si>
  <si>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</si>
  <si>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</si>
  <si>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</si>
  <si>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</si>
  <si>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</si>
  <si>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</si>
  <si>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</si>
  <si>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</si>
  <si>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</si>
  <si>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</si>
  <si>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</si>
  <si>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</si>
  <si>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</si>
  <si>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</si>
  <si>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</si>
  <si>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</si>
  <si>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</si>
  <si>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</si>
  <si>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</si>
  <si>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</si>
  <si>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</si>
  <si>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</si>
  <si>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</si>
  <si>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</si>
  <si>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</si>
  <si>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</si>
  <si>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</si>
  <si>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</si>
  <si>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</si>
  <si>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</si>
  <si>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</si>
  <si>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</si>
  <si>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</si>
  <si>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</si>
  <si>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</si>
  <si>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</si>
  <si>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</si>
  <si>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</si>
  <si>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</si>
  <si>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</si>
  <si>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</si>
  <si>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</si>
  <si>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</si>
  <si>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</si>
  <si>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</si>
  <si>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</si>
  <si>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</si>
  <si>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</si>
  <si>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</si>
  <si>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</si>
  <si>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</si>
  <si>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</si>
  <si>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</si>
  <si>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</si>
  <si>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</si>
  <si>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</si>
  <si>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</si>
  <si>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</si>
  <si>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</si>
  <si>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</si>
  <si>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</si>
  <si>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</si>
  <si>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</si>
  <si>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</si>
  <si>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</si>
  <si>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</si>
  <si>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</si>
  <si>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</si>
  <si>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</si>
  <si>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</si>
  <si>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</si>
  <si>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</si>
  <si>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</si>
  <si>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</si>
  <si>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</si>
  <si>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</si>
  <si>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</si>
  <si>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</si>
  <si>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</si>
  <si>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</si>
  <si>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</si>
  <si>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</si>
  <si>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</si>
  <si>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</si>
  <si>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</si>
  <si>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</si>
  <si>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</si>
  <si>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</si>
  <si>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</si>
  <si>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</si>
  <si>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</si>
  <si>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</si>
  <si>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</si>
  <si>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</si>
  <si>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</si>
  <si>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</si>
  <si>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</si>
  <si>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</si>
  <si>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</si>
  <si>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</si>
  <si>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</si>
  <si>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</si>
  <si>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</si>
  <si>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</si>
  <si>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</si>
  <si>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</si>
  <si>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</si>
  <si>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</si>
  <si>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</si>
  <si>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</si>
  <si>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</si>
  <si>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</si>
  <si>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</si>
  <si>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</si>
  <si>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</si>
  <si>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</si>
  <si>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</si>
  <si>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</si>
  <si>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</si>
  <si>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</si>
  <si>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</si>
  <si>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</si>
  <si>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</si>
  <si>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</si>
  <si>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</si>
  <si>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</si>
  <si>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</si>
  <si>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</si>
  <si>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</si>
  <si>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</si>
  <si>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</si>
  <si>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</si>
  <si>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</si>
  <si>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</si>
  <si>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</si>
  <si>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</si>
  <si>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</si>
  <si>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</si>
  <si>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</si>
  <si>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</si>
  <si>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</si>
  <si>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</si>
  <si>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</si>
  <si>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</si>
  <si>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</si>
  <si>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</si>
  <si>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</si>
  <si>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</si>
  <si>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</si>
  <si>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</si>
  <si>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</si>
  <si>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</si>
  <si>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</si>
  <si>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</si>
  <si>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</si>
  <si>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</si>
  <si>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</si>
  <si>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</si>
  <si>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</si>
  <si>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</si>
  <si>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</si>
  <si>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</si>
  <si>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</si>
  <si>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</si>
  <si>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</si>
  <si>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</si>
  <si>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</si>
  <si>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</si>
  <si>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</si>
  <si>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</si>
  <si>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</si>
  <si>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</si>
  <si>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</si>
  <si>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</si>
  <si>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</si>
  <si>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</si>
  <si>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</si>
  <si>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</si>
  <si>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</si>
  <si>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</si>
  <si>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</si>
  <si>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</si>
  <si>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</si>
  <si>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</si>
  <si>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</si>
  <si>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</si>
  <si>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</si>
  <si>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</si>
  <si>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</si>
  <si>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</si>
  <si>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</si>
  <si>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</si>
  <si>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</si>
  <si>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</si>
  <si>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</si>
  <si>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</si>
  <si>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</si>
  <si>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</si>
  <si>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</si>
  <si>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</si>
  <si>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</si>
  <si>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</si>
  <si>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</si>
  <si>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</si>
  <si>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</si>
  <si>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</si>
  <si>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</si>
  <si>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</si>
  <si>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</si>
  <si>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</si>
  <si>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</si>
  <si>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</si>
  <si>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</si>
  <si>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</si>
  <si>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</si>
  <si>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</si>
  <si>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</si>
  <si>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</si>
  <si>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</si>
  <si>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</si>
  <si>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</si>
  <si>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</si>
  <si>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</si>
  <si>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</si>
  <si>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</si>
  <si>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</si>
  <si>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</si>
  <si>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</si>
  <si>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</si>
  <si>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</si>
  <si>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</si>
  <si>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</si>
  <si>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</si>
  <si>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</si>
  <si>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</si>
  <si>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</si>
  <si>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</si>
  <si>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</si>
  <si>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</si>
  <si>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</si>
  <si>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</si>
  <si>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</si>
  <si>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</si>
  <si>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</si>
  <si>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</si>
  <si>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</si>
  <si>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</si>
  <si>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</si>
  <si>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</si>
  <si>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</si>
  <si>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</si>
  <si>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</si>
  <si>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</si>
  <si>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</si>
  <si>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</si>
  <si>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</si>
  <si>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</si>
  <si>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</si>
  <si>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</si>
  <si>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</si>
  <si>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</si>
  <si>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</si>
  <si>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</si>
  <si>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</si>
  <si>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</si>
  <si>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</si>
  <si>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</si>
  <si>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</si>
  <si>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</si>
  <si>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</si>
  <si>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</si>
  <si>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</si>
  <si>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</si>
  <si>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</si>
  <si>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</si>
  <si>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</si>
  <si>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</si>
  <si>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</si>
  <si>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</si>
  <si>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</si>
  <si>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</si>
  <si>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</si>
  <si>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</si>
  <si>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</si>
  <si>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</si>
  <si>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</si>
  <si>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</si>
  <si>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</si>
  <si>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</si>
  <si>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</si>
  <si>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</si>
  <si>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</si>
  <si>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</si>
  <si>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</si>
  <si>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</si>
  <si>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</si>
  <si>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</si>
  <si>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</si>
  <si>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</si>
  <si>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</si>
  <si>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</si>
  <si>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</si>
  <si>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</si>
  <si>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</si>
  <si>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</si>
  <si>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</si>
  <si>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</si>
  <si>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</si>
  <si>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</si>
  <si>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</si>
  <si>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</si>
  <si>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</si>
  <si>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</si>
  <si>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</si>
  <si>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</si>
  <si>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</si>
  <si>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</si>
  <si>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</si>
  <si>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</si>
  <si>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</si>
  <si>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</si>
  <si>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</si>
  <si>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</si>
  <si>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</si>
  <si>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</si>
  <si>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</si>
  <si>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</si>
  <si>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</si>
  <si>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</si>
  <si>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</si>
  <si>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</si>
  <si>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</si>
  <si>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</si>
  <si>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</si>
  <si>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</si>
  <si>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</si>
  <si>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</si>
  <si>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</si>
  <si>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</si>
  <si>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</si>
  <si>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</si>
  <si>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</si>
  <si>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</si>
  <si>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</si>
  <si>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</si>
  <si>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</si>
  <si>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</si>
  <si>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</si>
  <si>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</si>
  <si>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</si>
  <si>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</si>
  <si>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</si>
  <si>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</si>
  <si>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</si>
  <si>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</si>
  <si>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</si>
  <si>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</si>
  <si>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</si>
  <si>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</si>
  <si>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</si>
  <si>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</si>
  <si>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</si>
  <si>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</si>
  <si>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</si>
  <si>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</si>
  <si>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</si>
  <si>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</si>
  <si>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</si>
  <si>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</si>
  <si>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</si>
  <si>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</si>
  <si>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</si>
  <si>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</si>
  <si>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</si>
  <si>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</si>
  <si>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</si>
  <si>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</si>
  <si>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</si>
  <si>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</si>
  <si>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</si>
  <si>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</si>
  <si>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</si>
  <si>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</si>
  <si>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</si>
  <si>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</si>
  <si>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</si>
  <si>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</si>
  <si>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</si>
  <si>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</si>
  <si>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</si>
  <si>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</si>
  <si>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</si>
  <si>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</si>
  <si>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</si>
  <si>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</si>
  <si>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</si>
  <si>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</si>
  <si>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</si>
  <si>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</si>
  <si>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</si>
  <si>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</si>
  <si>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</si>
  <si>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</si>
  <si>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</si>
  <si>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</si>
  <si>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</si>
  <si>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</si>
  <si>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</si>
  <si>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</si>
  <si>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</si>
  <si>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</si>
  <si>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</si>
  <si>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</si>
  <si>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</si>
  <si>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</si>
  <si>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</si>
  <si>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</si>
  <si>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</si>
  <si>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</si>
  <si>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</si>
  <si>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</si>
  <si>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</si>
  <si>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</si>
  <si>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</si>
  <si>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</si>
  <si>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</si>
  <si>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</si>
  <si>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</si>
  <si>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</si>
  <si>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</si>
  <si>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</si>
  <si>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</si>
  <si>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</si>
  <si>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</si>
  <si>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</si>
  <si>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</si>
  <si>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</si>
  <si>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</si>
  <si>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</si>
  <si>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</si>
  <si>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</si>
  <si>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</si>
  <si>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</si>
  <si>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</si>
  <si>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</si>
  <si>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</si>
  <si>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</si>
  <si>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</si>
  <si>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</si>
  <si>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</si>
  <si>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</si>
  <si>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</si>
  <si>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</si>
  <si>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</si>
  <si>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</si>
  <si>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</si>
  <si>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</si>
  <si>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</si>
  <si>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</si>
  <si>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</si>
  <si>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</si>
  <si>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</si>
  <si>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</si>
  <si>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</si>
  <si>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</si>
  <si>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</si>
  <si>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</si>
  <si>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</si>
  <si>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</si>
  <si>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</si>
  <si>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</si>
  <si>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</si>
  <si>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</si>
  <si>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</si>
  <si>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</si>
  <si>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</si>
  <si>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</si>
  <si>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</si>
  <si>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</si>
  <si>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</si>
  <si>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</si>
  <si>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</si>
  <si>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</si>
  <si>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</si>
  <si>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</si>
  <si>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</si>
  <si>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</si>
  <si>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</si>
  <si>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</si>
  <si>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</si>
  <si>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</si>
  <si>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</si>
  <si>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</si>
  <si>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</si>
  <si>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</si>
  <si>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</si>
  <si>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</si>
  <si>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</si>
  <si>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</si>
  <si>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</si>
  <si>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</si>
  <si>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</si>
  <si>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</si>
  <si>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</si>
  <si>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</si>
  <si>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</si>
  <si>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</si>
  <si>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</si>
  <si>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</si>
  <si>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</si>
  <si>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</si>
  <si>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</si>
  <si>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</si>
  <si>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</si>
  <si>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</si>
  <si>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</si>
  <si>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</si>
  <si>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</si>
  <si>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</si>
  <si>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</si>
  <si>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</si>
  <si>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</si>
  <si>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</si>
  <si>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</si>
  <si>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</si>
  <si>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</si>
  <si>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</si>
  <si>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</si>
  <si>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</si>
  <si>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</si>
  <si>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</si>
  <si>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</si>
  <si>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</si>
  <si>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</si>
  <si>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</si>
  <si>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</si>
  <si>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</si>
  <si>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</si>
  <si>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</si>
  <si>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</si>
  <si>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</si>
  <si>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</si>
  <si>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</si>
  <si>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</si>
  <si>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</si>
  <si>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</si>
  <si>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</si>
  <si>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</si>
  <si>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</si>
  <si>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</si>
  <si>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</si>
  <si>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</si>
  <si>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</si>
  <si>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</si>
  <si>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</si>
  <si>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</si>
  <si>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</si>
  <si>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</si>
  <si>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</si>
  <si>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</si>
  <si>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</si>
  <si>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</si>
  <si>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</si>
  <si>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</si>
  <si>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</si>
  <si>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</si>
  <si>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</si>
  <si>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</si>
  <si>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</si>
  <si>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</si>
  <si>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</si>
  <si>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</si>
  <si>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</si>
  <si>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</si>
  <si>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</si>
  <si>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</si>
  <si>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</si>
  <si>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</si>
  <si>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</si>
  <si>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</si>
  <si>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</si>
  <si>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</si>
  <si>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</si>
  <si>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</si>
  <si>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</si>
  <si>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</si>
  <si>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</si>
  <si>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</si>
  <si>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</si>
  <si>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</si>
  <si>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</si>
  <si>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</si>
  <si>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</si>
  <si>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</si>
  <si>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</si>
  <si>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</si>
  <si>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</si>
  <si>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</si>
  <si>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</si>
  <si>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</si>
  <si>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</si>
  <si>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</si>
  <si>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</si>
  <si>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</si>
  <si>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</si>
  <si>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</si>
  <si>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</si>
  <si>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</si>
  <si>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</si>
  <si>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</si>
  <si>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</si>
  <si>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</si>
  <si>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</si>
  <si>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</si>
  <si>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</si>
  <si>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</si>
  <si>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</si>
  <si>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</si>
  <si>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</si>
  <si>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</si>
  <si>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</si>
  <si>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</si>
  <si>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</si>
  <si>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</si>
  <si>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</si>
  <si>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</si>
  <si>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</si>
  <si>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</si>
  <si>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</si>
  <si>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</si>
  <si>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</si>
  <si>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</si>
  <si>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</si>
  <si>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</si>
  <si>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</si>
  <si>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</si>
  <si>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</si>
  <si>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</si>
  <si>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</si>
  <si>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</si>
  <si>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</si>
  <si>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</si>
  <si>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</si>
  <si>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</si>
  <si>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</si>
  <si>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</si>
  <si>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</si>
  <si>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</si>
  <si>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</si>
  <si>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</si>
  <si>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</si>
  <si>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</si>
  <si>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</si>
  <si>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</si>
  <si>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</si>
  <si>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</si>
  <si>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</si>
  <si>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</si>
  <si>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</si>
  <si>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</si>
  <si>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</si>
  <si>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</si>
  <si>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</si>
  <si>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</si>
  <si>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</si>
  <si>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</si>
  <si>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</si>
  <si>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</si>
  <si>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</si>
  <si>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</si>
  <si>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</si>
  <si>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</si>
  <si>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</si>
  <si>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</si>
  <si>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</si>
  <si>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</si>
  <si>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</si>
  <si>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</si>
  <si>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</si>
  <si>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</si>
  <si>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</si>
  <si>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</si>
  <si>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</si>
  <si>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</si>
  <si>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</si>
  <si>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</si>
  <si>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</si>
  <si>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</si>
  <si>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</si>
  <si>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</si>
  <si>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</si>
  <si>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</si>
  <si>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</si>
  <si>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</si>
  <si>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</si>
  <si>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</si>
  <si>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</si>
  <si>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</si>
  <si>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</si>
  <si>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</si>
  <si>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</si>
  <si>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</si>
  <si>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</si>
  <si>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</si>
  <si>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</si>
  <si>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</si>
  <si>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</si>
  <si>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</si>
  <si>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</si>
  <si>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</si>
  <si>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</si>
  <si>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</si>
  <si>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</si>
  <si>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</si>
  <si>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</si>
  <si>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</si>
  <si>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</si>
  <si>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</si>
  <si>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</si>
  <si>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</si>
  <si>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</si>
  <si>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</si>
  <si>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</si>
  <si>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</si>
  <si>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</si>
  <si>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</si>
  <si>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</si>
  <si>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</si>
  <si>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</si>
  <si>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</si>
  <si>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</si>
  <si>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</si>
  <si>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</si>
  <si>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</si>
  <si>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</si>
  <si>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</si>
  <si>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</si>
  <si>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</si>
  <si>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</si>
  <si>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</si>
  <si>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</si>
  <si>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</si>
  <si>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</si>
  <si>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</si>
  <si>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</si>
  <si>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</si>
  <si>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</si>
  <si>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</si>
  <si>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</si>
  <si>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</si>
  <si>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</si>
  <si>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</si>
  <si>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</si>
  <si>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</si>
  <si>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</si>
  <si>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</si>
  <si>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</si>
  <si>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</si>
  <si>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</si>
  <si>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</si>
  <si>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</si>
  <si>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</si>
  <si>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</si>
  <si>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</si>
  <si>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</si>
  <si>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</si>
  <si>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</si>
  <si>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</si>
  <si>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</si>
  <si>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</si>
  <si>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</si>
  <si>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</si>
  <si>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</si>
  <si>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</si>
  <si>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</si>
  <si>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</si>
  <si>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</si>
  <si>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</si>
  <si>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</si>
  <si>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</si>
  <si>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</si>
  <si>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</si>
  <si>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</si>
  <si>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</si>
  <si>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</si>
  <si>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</si>
  <si>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</si>
  <si>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</si>
  <si>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</si>
  <si>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</si>
  <si>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</si>
  <si>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</si>
  <si>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</si>
  <si>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</si>
  <si>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</si>
  <si>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</si>
  <si>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</si>
  <si>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</si>
  <si>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</si>
  <si>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</si>
  <si>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</si>
  <si>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</si>
  <si>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</si>
  <si>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</si>
  <si>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</si>
  <si>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</si>
  <si>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</si>
  <si>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</si>
  <si>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</si>
  <si>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</si>
  <si>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</si>
  <si>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</si>
  <si>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</si>
  <si>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</si>
  <si>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</si>
  <si>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</si>
  <si>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</si>
  <si>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</si>
  <si>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</si>
  <si>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</si>
  <si>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</si>
  <si>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</si>
  <si>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</si>
  <si>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</si>
  <si>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</si>
  <si>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</si>
  <si>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</si>
  <si>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</si>
  <si>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</si>
  <si>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</si>
  <si>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</si>
  <si>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</si>
  <si>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</si>
  <si>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</si>
  <si>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</si>
  <si>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</si>
  <si>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</si>
  <si>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</si>
  <si>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</si>
  <si>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</si>
  <si>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</si>
  <si>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</si>
  <si>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</si>
  <si>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</si>
  <si>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</si>
  <si>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</si>
  <si>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</si>
  <si>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</si>
  <si>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</si>
  <si>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</si>
  <si>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</si>
  <si>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</si>
  <si>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</si>
  <si>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</si>
  <si>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</si>
  <si>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</si>
  <si>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</si>
  <si>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</si>
  <si>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</si>
  <si>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</si>
  <si>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</si>
  <si>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</si>
  <si>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</si>
  <si>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</si>
  <si>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</si>
  <si>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</si>
  <si>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</si>
  <si>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</si>
  <si>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</si>
  <si>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</si>
  <si>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</si>
  <si>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</si>
  <si>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</si>
  <si>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</si>
  <si>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</si>
  <si>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</si>
  <si>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</si>
  <si>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</si>
  <si>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</si>
  <si>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</si>
  <si>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</si>
  <si>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</si>
  <si>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</si>
  <si>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</si>
  <si>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</si>
  <si>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</si>
  <si>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</si>
  <si>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</si>
  <si>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</si>
  <si>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</si>
  <si>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</si>
  <si>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</si>
  <si>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</si>
  <si>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</si>
  <si>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</si>
  <si>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</si>
  <si>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</si>
  <si>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</si>
  <si>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</si>
  <si>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</si>
  <si>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</si>
  <si>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</si>
  <si>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</si>
  <si>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</si>
  <si>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</si>
  <si>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</si>
  <si>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</si>
  <si>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</si>
  <si>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</si>
  <si>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</si>
  <si>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</si>
  <si>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</si>
  <si>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</si>
  <si>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</si>
  <si>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</si>
  <si>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</si>
  <si>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</si>
  <si>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</si>
  <si>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</si>
  <si>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</si>
  <si>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</si>
  <si>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</si>
  <si>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</si>
  <si>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</si>
  <si>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</si>
  <si>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</si>
  <si>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</si>
  <si>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</si>
  <si>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</si>
  <si>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</si>
  <si>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</si>
  <si>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</si>
  <si>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</si>
  <si>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</si>
  <si>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</si>
  <si>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</si>
  <si>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</si>
  <si>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</si>
  <si>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</si>
  <si>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</si>
  <si>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</si>
  <si>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</si>
  <si>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</si>
  <si>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</si>
  <si>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</si>
  <si>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</si>
  <si>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</si>
  <si>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</si>
  <si>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</si>
  <si>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</si>
  <si>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</si>
  <si>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</si>
  <si>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</si>
  <si>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</si>
  <si>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</si>
  <si>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</si>
  <si>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</si>
  <si>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</si>
  <si>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</si>
  <si>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</si>
  <si>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</si>
  <si>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</si>
  <si>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</si>
  <si>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</si>
  <si>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</si>
  <si>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</si>
  <si>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</si>
  <si>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</si>
  <si>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</si>
  <si>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</si>
  <si>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</si>
  <si>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</si>
  <si>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</si>
  <si>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</si>
  <si>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</si>
  <si>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</si>
  <si>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</si>
  <si>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</si>
  <si>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</si>
  <si>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</si>
  <si>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</si>
  <si>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</si>
  <si>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</si>
  <si>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</si>
  <si>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</si>
  <si>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</si>
  <si>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</si>
  <si>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</si>
  <si>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</si>
  <si>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</si>
  <si>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</si>
  <si>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</si>
  <si>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</si>
  <si>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</si>
  <si>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</si>
  <si>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</si>
  <si>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</si>
  <si>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</si>
  <si>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</si>
  <si>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</si>
  <si>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</si>
  <si>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</si>
  <si>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</si>
  <si>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</si>
  <si>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</si>
  <si>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</si>
  <si>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</si>
  <si>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</si>
  <si>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</si>
  <si>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</si>
  <si>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</si>
  <si>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</si>
  <si>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</si>
  <si>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</si>
  <si>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</si>
  <si>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</si>
  <si>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</si>
  <si>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</si>
  <si>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</si>
  <si>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</si>
  <si>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</si>
  <si>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</si>
  <si>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</si>
  <si>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</si>
  <si>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</si>
  <si>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</si>
  <si>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</si>
  <si>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</si>
  <si>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</si>
  <si>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</si>
  <si>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</si>
  <si>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</si>
  <si>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</si>
  <si>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</si>
  <si>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</si>
  <si>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</si>
  <si>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</si>
  <si>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</si>
  <si>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</si>
  <si>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</si>
  <si>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</si>
  <si>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</si>
  <si>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</si>
  <si>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</si>
  <si>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</si>
  <si>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</si>
  <si>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</si>
  <si>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</si>
  <si>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</si>
  <si>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</si>
  <si>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</si>
  <si>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</si>
  <si>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</si>
  <si>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</si>
  <si>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</si>
  <si>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</si>
  <si>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</si>
  <si>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</si>
  <si>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</si>
  <si>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</si>
  <si>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</si>
  <si>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</si>
  <si>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</si>
  <si>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</si>
  <si>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</si>
  <si>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</si>
  <si>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</si>
  <si>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</si>
  <si>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</si>
  <si>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</si>
  <si>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</si>
  <si>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</si>
  <si>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</si>
  <si>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</si>
  <si>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</si>
  <si>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</si>
  <si>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</si>
  <si>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</si>
  <si>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</si>
  <si>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</si>
  <si>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</si>
  <si>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</si>
  <si>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</si>
  <si>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</si>
  <si>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</si>
  <si>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</si>
  <si>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</si>
  <si>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</si>
  <si>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</si>
  <si>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</si>
  <si>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</si>
  <si>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</si>
  <si>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</si>
  <si>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</si>
  <si>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</si>
  <si>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</si>
  <si>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</si>
  <si>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</si>
  <si>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</si>
  <si>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</si>
  <si>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</si>
  <si>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</si>
  <si>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</si>
  <si>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</si>
  <si>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</si>
  <si>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</si>
  <si>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</si>
  <si>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</si>
  <si>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</si>
  <si>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</si>
  <si>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</si>
  <si>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</si>
  <si>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</si>
  <si>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</si>
  <si>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</si>
  <si>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</si>
  <si>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</si>
  <si>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</si>
  <si>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</si>
  <si>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</si>
  <si>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</si>
  <si>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</si>
  <si>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</si>
  <si>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</si>
  <si>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</si>
  <si>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</si>
  <si>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</si>
  <si>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</si>
  <si>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</si>
  <si>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</si>
  <si>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</si>
  <si>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</si>
  <si>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</si>
  <si>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</si>
  <si>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</si>
  <si>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</si>
  <si>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</si>
  <si>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</si>
  <si>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</si>
  <si>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</si>
  <si>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</si>
  <si>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</si>
  <si>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</si>
  <si>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</si>
  <si>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</si>
  <si>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</si>
  <si>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</si>
  <si>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</si>
  <si>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</si>
  <si>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</si>
  <si>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</si>
  <si>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</si>
  <si>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</si>
  <si>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</si>
  <si>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</si>
  <si>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</si>
  <si>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</si>
  <si>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</si>
  <si>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</si>
  <si>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</si>
  <si>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</si>
  <si>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</si>
  <si>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</si>
  <si>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</si>
  <si>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</si>
  <si>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</si>
  <si>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</si>
  <si>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</si>
  <si>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</si>
  <si>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</si>
  <si>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</si>
  <si>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</si>
  <si>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</si>
  <si>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</si>
  <si>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</si>
  <si>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</si>
  <si>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</si>
  <si>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</si>
  <si>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</si>
  <si>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</si>
  <si>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</si>
  <si>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</si>
  <si>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</si>
  <si>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</si>
  <si>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</si>
  <si>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</si>
  <si>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</si>
  <si>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</si>
  <si>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</si>
  <si>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</si>
  <si>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</si>
  <si>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</si>
  <si>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</si>
  <si>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</si>
  <si>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</si>
  <si>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</si>
  <si>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</si>
  <si>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</si>
  <si>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</si>
  <si>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</si>
  <si>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</si>
  <si>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</si>
  <si>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</si>
  <si>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</si>
  <si>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</si>
  <si>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</si>
  <si>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</si>
  <si>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</si>
  <si>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</si>
  <si>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</si>
  <si>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</si>
  <si>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</si>
  <si>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</si>
  <si>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</si>
  <si>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</si>
  <si>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</si>
  <si>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</si>
  <si>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</si>
  <si>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</si>
  <si>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</si>
  <si>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</si>
  <si>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</si>
  <si>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</si>
  <si>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</si>
  <si>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</si>
  <si>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</si>
  <si>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</si>
  <si>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</si>
  <si>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</si>
  <si>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</si>
  <si>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</si>
  <si>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</si>
  <si>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</si>
  <si>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</si>
  <si>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</si>
  <si>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</si>
  <si>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</si>
  <si>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</si>
  <si>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</si>
  <si>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</si>
  <si>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</si>
  <si>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</si>
  <si>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</si>
  <si>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</si>
  <si>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</si>
  <si>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</si>
  <si>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</si>
  <si>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</si>
  <si>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</si>
  <si>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</si>
  <si>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</si>
  <si>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</si>
  <si>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</si>
  <si>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</si>
  <si>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</si>
  <si>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</si>
  <si>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</si>
  <si>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</si>
  <si>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</si>
  <si>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</si>
  <si>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</si>
  <si>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</si>
  <si>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</si>
  <si>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</si>
  <si>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</si>
  <si>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</si>
  <si>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</si>
  <si>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</si>
  <si>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</si>
  <si>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</si>
  <si>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</si>
  <si>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</si>
  <si>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</si>
  <si>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</si>
  <si>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</si>
  <si>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</si>
  <si>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</si>
  <si>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</si>
  <si>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</si>
  <si>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</si>
  <si>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</si>
  <si>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</si>
  <si>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</si>
  <si>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</si>
  <si>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</si>
  <si>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</si>
  <si>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</si>
  <si>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</si>
  <si>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</si>
  <si>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</si>
  <si>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</si>
  <si>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</si>
  <si>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</si>
  <si>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</si>
  <si>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</si>
  <si>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</si>
  <si>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</si>
  <si>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</si>
  <si>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</si>
  <si>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</si>
  <si>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</si>
  <si>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</si>
  <si>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</si>
  <si>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</si>
  <si>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</si>
  <si>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</si>
  <si>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</si>
  <si>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</si>
  <si>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</si>
  <si>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</si>
  <si>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</si>
  <si>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</si>
  <si>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</si>
  <si>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</si>
  <si>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</si>
  <si>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</si>
  <si>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</si>
  <si>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</si>
  <si>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</si>
  <si>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</si>
  <si>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</si>
  <si>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</si>
  <si>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</si>
  <si>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</si>
  <si>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</si>
  <si>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</si>
  <si>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</si>
  <si>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</si>
  <si>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</si>
  <si>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</si>
  <si>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</si>
  <si>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</si>
  <si>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</si>
  <si>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</si>
  <si>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</si>
  <si>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</si>
  <si>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</si>
  <si>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</si>
  <si>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</si>
  <si>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</si>
  <si>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</si>
  <si>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</si>
  <si>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</si>
  <si>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</si>
  <si>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</si>
  <si>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</si>
  <si>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</si>
  <si>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</si>
  <si>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</si>
  <si>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</si>
  <si>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</si>
  <si>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</si>
  <si>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</si>
  <si>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</si>
  <si>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</si>
  <si>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</si>
  <si>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</si>
  <si>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</si>
  <si>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</si>
  <si>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</si>
  <si>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</si>
  <si>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</si>
  <si>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</si>
  <si>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</si>
  <si>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</si>
  <si>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</si>
  <si>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</si>
  <si>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</si>
  <si>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</si>
  <si>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</si>
  <si>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</si>
  <si>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</si>
  <si>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</si>
  <si>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</si>
  <si>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</si>
  <si>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</si>
  <si>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</si>
  <si>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</si>
  <si>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</si>
  <si>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</si>
  <si>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</si>
  <si>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</si>
  <si>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</si>
  <si>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</si>
  <si>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</si>
  <si>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</si>
  <si>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</si>
  <si>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</si>
  <si>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</si>
  <si>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</si>
  <si>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</si>
  <si>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</si>
  <si>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</si>
  <si>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</si>
  <si>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</si>
  <si>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</si>
  <si>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</si>
  <si>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</si>
  <si>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</si>
  <si>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</si>
  <si>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</si>
  <si>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</si>
  <si>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</si>
  <si>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</si>
  <si>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</si>
  <si>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</si>
  <si>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</si>
  <si>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</si>
  <si>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</si>
  <si>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</si>
  <si>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</si>
  <si>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</si>
  <si>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</si>
  <si>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</si>
  <si>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</si>
  <si>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</si>
  <si>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</si>
  <si>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</si>
  <si>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</si>
  <si>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</si>
  <si>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</si>
  <si>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</si>
  <si>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</si>
  <si>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</si>
  <si>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</si>
  <si>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</si>
  <si>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</si>
  <si>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</si>
  <si>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</si>
  <si>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</si>
  <si>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</si>
  <si>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</si>
  <si>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</si>
  <si>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</si>
  <si>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</si>
  <si>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</si>
  <si>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</si>
  <si>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</si>
  <si>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</si>
  <si>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</si>
  <si>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</si>
  <si>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</si>
  <si>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</si>
  <si>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</si>
  <si>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</si>
  <si>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</si>
  <si>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</si>
  <si>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</si>
  <si>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</si>
  <si>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</si>
  <si>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</si>
  <si>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</si>
  <si>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</si>
  <si>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</si>
  <si>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</si>
  <si>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</si>
  <si>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</si>
  <si>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</si>
  <si>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</si>
  <si>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</si>
  <si>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</si>
  <si>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</si>
  <si>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</si>
  <si>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</si>
  <si>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</si>
  <si>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</si>
  <si>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</si>
  <si>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</si>
  <si>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</si>
  <si>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</si>
  <si>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</si>
  <si>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</si>
  <si>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</si>
  <si>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</si>
  <si>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</si>
  <si>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</si>
  <si>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</si>
  <si>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</si>
  <si>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</si>
  <si>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</si>
  <si>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</si>
  <si>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</si>
  <si>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</si>
  <si>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</si>
  <si>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</si>
  <si>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</si>
  <si>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</si>
  <si>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</si>
  <si>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</si>
  <si>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</si>
  <si>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</si>
  <si>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</si>
  <si>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</si>
  <si>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</si>
  <si>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</si>
  <si>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</si>
  <si>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</si>
  <si>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</si>
  <si>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</si>
  <si>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</si>
  <si>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</si>
  <si>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</si>
  <si>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</si>
  <si>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</si>
  <si>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</si>
  <si>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</si>
  <si>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</si>
  <si>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</si>
  <si>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</si>
  <si>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</si>
  <si>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</si>
  <si>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</si>
  <si>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</si>
  <si>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</si>
  <si>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</si>
  <si>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</si>
  <si>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</si>
  <si>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</si>
  <si>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</si>
  <si>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</si>
  <si>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</si>
  <si>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</si>
  <si>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</si>
  <si>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</si>
  <si>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</si>
  <si>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</si>
  <si>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</si>
  <si>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</si>
  <si>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</si>
  <si>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</si>
  <si>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</si>
  <si>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</si>
  <si>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</si>
  <si>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</si>
  <si>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</si>
  <si>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</si>
  <si>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</si>
  <si>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</si>
  <si>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</si>
  <si>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</si>
  <si>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</si>
  <si>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</si>
  <si>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</si>
  <si>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</si>
  <si>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</si>
  <si>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</si>
  <si>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</si>
  <si>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</si>
  <si>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</si>
  <si>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</si>
  <si>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</si>
  <si>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</si>
  <si>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</si>
  <si>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</si>
  <si>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</si>
  <si>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</si>
  <si>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</si>
  <si>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</si>
  <si>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</si>
  <si>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</si>
  <si>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</si>
  <si>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</si>
  <si>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</si>
  <si>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</si>
  <si>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</si>
  <si>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</si>
  <si>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</si>
  <si>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</si>
  <si>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</si>
  <si>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</si>
  <si>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</si>
  <si>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</si>
  <si>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</si>
  <si>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</si>
  <si>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</si>
  <si>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</si>
  <si>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</si>
  <si>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</si>
  <si>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</si>
  <si>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</si>
  <si>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</si>
  <si>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</si>
  <si>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</si>
  <si>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</si>
  <si>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</si>
  <si>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</si>
  <si>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</si>
  <si>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</si>
  <si>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</si>
  <si>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</si>
  <si>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</si>
  <si>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</si>
  <si>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</si>
  <si>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</si>
  <si>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</si>
  <si>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</si>
  <si>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</si>
  <si>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</si>
  <si>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</si>
  <si>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</si>
  <si>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</si>
  <si>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</si>
  <si>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</si>
  <si>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</si>
  <si>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</si>
  <si>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</si>
  <si>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</si>
  <si>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</si>
  <si>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</si>
  <si>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</si>
  <si>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</si>
  <si>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</si>
  <si>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</si>
  <si>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</si>
  <si>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</si>
  <si>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</si>
  <si>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</si>
  <si>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</si>
  <si>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</si>
  <si>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</si>
  <si>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</si>
  <si>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</si>
  <si>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</si>
  <si>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</si>
  <si>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</si>
  <si>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</si>
  <si>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</si>
  <si>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</si>
  <si>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</si>
  <si>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</si>
  <si>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</si>
  <si>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</si>
  <si>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</si>
  <si>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</si>
  <si>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</si>
  <si>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</si>
  <si>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</si>
  <si>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</si>
  <si>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</si>
  <si>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</si>
  <si>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</si>
  <si>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</si>
  <si>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</si>
  <si>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</si>
  <si>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</si>
  <si>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</si>
  <si>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</si>
  <si>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</si>
  <si>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</si>
  <si>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</si>
  <si>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</si>
  <si>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</si>
  <si>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</si>
  <si>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</si>
  <si>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</si>
  <si>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</si>
  <si>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</si>
  <si>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</si>
  <si>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</si>
  <si>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</si>
  <si>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</si>
  <si>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</si>
  <si>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</si>
  <si>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</si>
  <si>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</si>
  <si>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</si>
  <si>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</si>
  <si>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</si>
  <si>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</si>
  <si>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</si>
  <si>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</si>
  <si>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</si>
  <si>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</si>
  <si>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</si>
  <si>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</si>
  <si>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</si>
  <si>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</si>
  <si>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</si>
  <si>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</si>
  <si>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</si>
  <si>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</si>
  <si>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</si>
  <si>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</si>
  <si>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</si>
  <si>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</si>
  <si>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</si>
  <si>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</si>
  <si>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</si>
  <si>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</si>
  <si>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</si>
  <si>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</si>
  <si>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</si>
  <si>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</si>
  <si>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</si>
  <si>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</si>
  <si>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</si>
  <si>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</si>
  <si>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</si>
  <si>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</si>
  <si>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</si>
  <si>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</si>
  <si>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</si>
  <si>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</si>
  <si>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</si>
  <si>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</si>
  <si>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</si>
  <si>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</si>
  <si>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</si>
  <si>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</si>
  <si>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</si>
  <si>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</si>
  <si>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</si>
  <si>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</si>
  <si>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</si>
  <si>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</si>
  <si>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</si>
  <si>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</si>
  <si>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</si>
  <si>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</si>
  <si>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</si>
  <si>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</si>
  <si>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</si>
  <si>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</si>
  <si>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</si>
  <si>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</si>
  <si>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</si>
  <si>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</si>
  <si>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</si>
  <si>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</si>
  <si>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</si>
  <si>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</si>
  <si>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</si>
  <si>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</si>
  <si>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</si>
  <si>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</si>
  <si>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</si>
  <si>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</si>
  <si>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</si>
  <si>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</si>
  <si>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</si>
  <si>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</si>
  <si>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</si>
  <si>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</si>
  <si>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</si>
  <si>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</si>
  <si>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</si>
  <si>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</si>
  <si>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</si>
  <si>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</si>
  <si>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</si>
  <si>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</si>
  <si>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</si>
  <si>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</si>
  <si>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</si>
  <si>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</si>
  <si>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</si>
  <si>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</si>
  <si>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</si>
  <si>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</si>
  <si>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</si>
  <si>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</si>
  <si>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</si>
  <si>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</si>
  <si>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</si>
  <si>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</si>
  <si>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</si>
  <si>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</si>
  <si>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</si>
  <si>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</si>
  <si>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</si>
  <si>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</si>
  <si>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</si>
  <si>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text  fxn</t>
  </si>
  <si>
    <t>text fxn</t>
  </si>
  <si>
    <t>trim fxn</t>
  </si>
  <si>
    <t>p</t>
  </si>
  <si>
    <t>text</t>
  </si>
  <si>
    <t>iferror</t>
  </si>
  <si>
    <t>if</t>
  </si>
  <si>
    <t>Tech-World</t>
  </si>
  <si>
    <t>Gadget-Hub</t>
  </si>
  <si>
    <t>Sound-Pro</t>
  </si>
  <si>
    <t>Laptop-Store</t>
  </si>
  <si>
    <t>world</t>
  </si>
  <si>
    <t>hub</t>
  </si>
  <si>
    <t>pro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</si>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</sst>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4" fontId="1" fillId="2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164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zoomScale="151" zoomScaleNormal="145" workbookViewId="0">
      <selection activeCell="E1" sqref="E1:E1048576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5" width="20.6640625" style="10" customWidth="1"/>
    <col min="6" max="6" width="22.33203125" style="3" customWidth="1"/>
    <col min="7" max="7" width="13.6640625" customWidth="1"/>
  </cols>
  <sheetData>
    <row r="1" spans="1:7" ht="18" customHeight="1">
      <c r="A1" s="5" t="s">
        <v>0</v>
      </c>
      <c r="B1" s="5" t="s">
        <v>1</v>
      </c>
      <c r="C1" s="5" t="s">
        <v>2</v>
      </c>
      <c r="D1" s="8" t="s">
        <v>3</v>
      </c>
      <c r="E1" s="8" t="s">
        <v>3096</v>
      </c>
      <c r="F1" s="6" t="s">
        <v>4</v>
      </c>
      <c r="G1" s="2"/>
    </row>
    <row r="2" spans="1:7">
      <c r="A2" s="4" t="s">
        <v>2533</v>
      </c>
      <c r="B2" s="4" t="s">
        <v>5</v>
      </c>
      <c r="C2" s="4" t="s">
        <v>504</v>
      </c>
      <c r="D2" s="9">
        <v>41954</v>
      </c>
      <c r="E2" s="9" t="str">
        <f>TEXT(D2,"DD-MM-YYYY")</f>
        <v>11-11-2014</v>
      </c>
      <c r="F2" s="7">
        <v>43831</v>
      </c>
      <c r="G2" s="11"/>
    </row>
    <row r="3" spans="1:7">
      <c r="A3" s="4" t="s">
        <v>2534</v>
      </c>
      <c r="B3" s="4" t="s">
        <v>6</v>
      </c>
      <c r="C3" s="4" t="s">
        <v>505</v>
      </c>
      <c r="D3" s="9">
        <v>49855</v>
      </c>
      <c r="E3" s="9" t="str">
        <f t="shared" ref="E3:E66" si="0">TEXT(D3,"DD-MM-YYYY")</f>
        <v>29-06-2036</v>
      </c>
      <c r="F3" s="7">
        <v>43832</v>
      </c>
      <c r="G3" s="11"/>
    </row>
    <row r="4" spans="1:7">
      <c r="A4" s="4" t="s">
        <v>2535</v>
      </c>
      <c r="B4" s="4" t="s">
        <v>7</v>
      </c>
      <c r="C4" s="4" t="s">
        <v>506</v>
      </c>
      <c r="D4" s="9">
        <v>94210</v>
      </c>
      <c r="E4" s="9" t="str">
        <f t="shared" si="0"/>
        <v>07-12-2157</v>
      </c>
      <c r="F4" s="7">
        <v>43833</v>
      </c>
      <c r="G4" s="11"/>
    </row>
    <row r="5" spans="1:7">
      <c r="A5" s="4" t="s">
        <v>2536</v>
      </c>
      <c r="B5" s="4" t="s">
        <v>8</v>
      </c>
      <c r="C5" s="4" t="s">
        <v>504</v>
      </c>
      <c r="D5" s="9">
        <v>74689</v>
      </c>
      <c r="E5" s="9" t="str">
        <f t="shared" si="0"/>
        <v>27-06-2104</v>
      </c>
      <c r="F5" s="7">
        <v>43834</v>
      </c>
      <c r="G5" s="11"/>
    </row>
    <row r="6" spans="1:7">
      <c r="A6" s="4" t="s">
        <v>2537</v>
      </c>
      <c r="B6" s="4" t="s">
        <v>9</v>
      </c>
      <c r="C6" s="4" t="s">
        <v>505</v>
      </c>
      <c r="D6" s="9">
        <v>90652</v>
      </c>
      <c r="E6" s="9" t="str">
        <f t="shared" si="0"/>
        <v>11-03-2148</v>
      </c>
      <c r="F6" s="7">
        <v>43835</v>
      </c>
      <c r="G6" s="11"/>
    </row>
    <row r="7" spans="1:7">
      <c r="A7" s="4" t="s">
        <v>2538</v>
      </c>
      <c r="B7" s="4" t="s">
        <v>7</v>
      </c>
      <c r="C7" s="4" t="s">
        <v>505</v>
      </c>
      <c r="D7" s="9">
        <v>74820</v>
      </c>
      <c r="E7" s="9" t="str">
        <f t="shared" si="0"/>
        <v>05-11-2104</v>
      </c>
      <c r="F7" s="7">
        <v>43836</v>
      </c>
      <c r="G7" s="11"/>
    </row>
    <row r="8" spans="1:7">
      <c r="A8" s="4" t="s">
        <v>2539</v>
      </c>
      <c r="B8" s="4" t="s">
        <v>10</v>
      </c>
      <c r="C8" s="4" t="s">
        <v>506</v>
      </c>
      <c r="D8" s="9">
        <v>85206</v>
      </c>
      <c r="E8" s="9" t="str">
        <f t="shared" si="0"/>
        <v>13-04-2133</v>
      </c>
      <c r="F8" s="7">
        <v>43837</v>
      </c>
      <c r="G8" s="11"/>
    </row>
    <row r="9" spans="1:7">
      <c r="A9" s="4" t="s">
        <v>2540</v>
      </c>
      <c r="B9" s="4" t="s">
        <v>11</v>
      </c>
      <c r="C9" s="4" t="s">
        <v>504</v>
      </c>
      <c r="D9" s="9">
        <v>30924</v>
      </c>
      <c r="E9" s="9" t="str">
        <f t="shared" si="0"/>
        <v>30-08-1984</v>
      </c>
      <c r="F9" s="7">
        <v>43838</v>
      </c>
      <c r="G9" s="11"/>
    </row>
    <row r="10" spans="1:7">
      <c r="A10" s="4" t="s">
        <v>2541</v>
      </c>
      <c r="B10" s="4" t="s">
        <v>12</v>
      </c>
      <c r="C10" s="4" t="s">
        <v>505</v>
      </c>
      <c r="D10" s="9">
        <v>57737</v>
      </c>
      <c r="E10" s="9" t="str">
        <f t="shared" si="0"/>
        <v>27-01-2058</v>
      </c>
      <c r="F10" s="7">
        <v>43839</v>
      </c>
      <c r="G10" s="11"/>
    </row>
    <row r="11" spans="1:7">
      <c r="A11" s="4" t="s">
        <v>2542</v>
      </c>
      <c r="B11" s="4" t="s">
        <v>13</v>
      </c>
      <c r="C11" s="4" t="s">
        <v>506</v>
      </c>
      <c r="D11" s="9">
        <v>36000</v>
      </c>
      <c r="E11" s="9" t="str">
        <f t="shared" si="0"/>
        <v>24-07-1998</v>
      </c>
      <c r="F11" s="7">
        <v>43840</v>
      </c>
      <c r="G11" s="11"/>
    </row>
    <row r="12" spans="1:7">
      <c r="A12" s="4" t="s">
        <v>2543</v>
      </c>
      <c r="B12" s="4" t="s">
        <v>14</v>
      </c>
      <c r="C12" s="4" t="s">
        <v>506</v>
      </c>
      <c r="D12" s="9">
        <v>96371</v>
      </c>
      <c r="E12" s="9" t="str">
        <f t="shared" si="0"/>
        <v>07-11-2163</v>
      </c>
      <c r="F12" s="7">
        <v>43841</v>
      </c>
      <c r="G12" s="11"/>
    </row>
    <row r="13" spans="1:7">
      <c r="A13" s="4" t="s">
        <v>2544</v>
      </c>
      <c r="B13" s="4" t="s">
        <v>15</v>
      </c>
      <c r="C13" s="4" t="s">
        <v>505</v>
      </c>
      <c r="D13" s="9">
        <v>85028</v>
      </c>
      <c r="E13" s="9" t="str">
        <f t="shared" si="0"/>
        <v>17-10-2132</v>
      </c>
      <c r="F13" s="7">
        <v>43842</v>
      </c>
      <c r="G13" s="11"/>
    </row>
    <row r="14" spans="1:7">
      <c r="A14" s="4" t="s">
        <v>2545</v>
      </c>
      <c r="B14" s="4" t="s">
        <v>16</v>
      </c>
      <c r="C14" s="4" t="s">
        <v>507</v>
      </c>
      <c r="D14" s="9">
        <v>51378</v>
      </c>
      <c r="E14" s="9" t="str">
        <f t="shared" si="0"/>
        <v>30-08-2040</v>
      </c>
      <c r="F14" s="7">
        <v>43843</v>
      </c>
      <c r="G14" s="11"/>
    </row>
    <row r="15" spans="1:7">
      <c r="A15" s="4" t="s">
        <v>2546</v>
      </c>
      <c r="B15" s="4" t="s">
        <v>17</v>
      </c>
      <c r="C15" s="4" t="s">
        <v>504</v>
      </c>
      <c r="D15" s="9">
        <v>49898</v>
      </c>
      <c r="E15" s="9" t="str">
        <f t="shared" si="0"/>
        <v>11-08-2036</v>
      </c>
      <c r="F15" s="7">
        <v>43844</v>
      </c>
      <c r="G15" s="11"/>
    </row>
    <row r="16" spans="1:7">
      <c r="A16" s="4" t="s">
        <v>2547</v>
      </c>
      <c r="B16" s="4" t="s">
        <v>18</v>
      </c>
      <c r="C16" s="4" t="s">
        <v>506</v>
      </c>
      <c r="D16" s="9">
        <v>71737</v>
      </c>
      <c r="E16" s="9" t="str">
        <f t="shared" si="0"/>
        <v>27-05-2096</v>
      </c>
      <c r="F16" s="7">
        <v>43845</v>
      </c>
      <c r="G16" s="11"/>
    </row>
    <row r="17" spans="1:7">
      <c r="A17" s="4" t="s">
        <v>2548</v>
      </c>
      <c r="B17" s="4" t="s">
        <v>19</v>
      </c>
      <c r="C17" s="4" t="s">
        <v>506</v>
      </c>
      <c r="D17" s="9">
        <v>89576</v>
      </c>
      <c r="E17" s="9" t="str">
        <f t="shared" si="0"/>
        <v>31-03-2145</v>
      </c>
      <c r="F17" s="7">
        <v>43846</v>
      </c>
      <c r="G17" s="11"/>
    </row>
    <row r="18" spans="1:7">
      <c r="A18" s="4" t="s">
        <v>2549</v>
      </c>
      <c r="B18" s="4" t="s">
        <v>20</v>
      </c>
      <c r="C18" s="4" t="s">
        <v>506</v>
      </c>
      <c r="D18" s="9">
        <v>45503</v>
      </c>
      <c r="E18" s="9" t="str">
        <f t="shared" si="0"/>
        <v>30-07-2024</v>
      </c>
      <c r="F18" s="7">
        <v>43847</v>
      </c>
      <c r="G18" s="11"/>
    </row>
    <row r="19" spans="1:7">
      <c r="A19" s="4" t="s">
        <v>2550</v>
      </c>
      <c r="B19" s="4" t="s">
        <v>21</v>
      </c>
      <c r="C19" s="4" t="s">
        <v>508</v>
      </c>
      <c r="D19" s="9">
        <v>54752</v>
      </c>
      <c r="E19" s="9" t="str">
        <f t="shared" si="0"/>
        <v>25-11-2049</v>
      </c>
      <c r="F19" s="7">
        <v>43848</v>
      </c>
      <c r="G19" s="11"/>
    </row>
    <row r="20" spans="1:7">
      <c r="A20" s="4" t="s">
        <v>2551</v>
      </c>
      <c r="B20" s="4" t="s">
        <v>22</v>
      </c>
      <c r="C20" s="4" t="s">
        <v>507</v>
      </c>
      <c r="D20" s="9">
        <v>89685</v>
      </c>
      <c r="E20" s="9" t="str">
        <f t="shared" si="0"/>
        <v>18-07-2145</v>
      </c>
      <c r="F20" s="7">
        <v>43849</v>
      </c>
      <c r="G20" s="11"/>
    </row>
    <row r="21" spans="1:7">
      <c r="A21" s="4" t="s">
        <v>2552</v>
      </c>
      <c r="B21" s="4" t="s">
        <v>23</v>
      </c>
      <c r="C21" s="4" t="s">
        <v>506</v>
      </c>
      <c r="D21" s="9">
        <v>97208</v>
      </c>
      <c r="E21" s="9" t="str">
        <f t="shared" si="0"/>
        <v>21-02-2166</v>
      </c>
      <c r="F21" s="7">
        <v>43850</v>
      </c>
      <c r="G21" s="11"/>
    </row>
    <row r="22" spans="1:7">
      <c r="A22" s="4" t="s">
        <v>2553</v>
      </c>
      <c r="B22" s="4" t="s">
        <v>24</v>
      </c>
      <c r="C22" s="4" t="s">
        <v>508</v>
      </c>
      <c r="D22" s="9">
        <v>57149</v>
      </c>
      <c r="E22" s="9" t="str">
        <f t="shared" si="0"/>
        <v>18-06-2056</v>
      </c>
      <c r="F22" s="7">
        <v>43851</v>
      </c>
      <c r="G22" s="11"/>
    </row>
    <row r="23" spans="1:7">
      <c r="A23" s="4" t="s">
        <v>2554</v>
      </c>
      <c r="B23" s="4" t="s">
        <v>25</v>
      </c>
      <c r="C23" s="4" t="s">
        <v>508</v>
      </c>
      <c r="D23" s="9">
        <v>90050</v>
      </c>
      <c r="E23" s="9" t="str">
        <f t="shared" si="0"/>
        <v>18-07-2146</v>
      </c>
      <c r="F23" s="7">
        <v>43852</v>
      </c>
      <c r="G23" s="11"/>
    </row>
    <row r="24" spans="1:7">
      <c r="A24" s="4" t="s">
        <v>2555</v>
      </c>
      <c r="B24" s="4" t="s">
        <v>26</v>
      </c>
      <c r="C24" s="4" t="s">
        <v>506</v>
      </c>
      <c r="D24" s="9">
        <v>36298</v>
      </c>
      <c r="E24" s="9" t="str">
        <f t="shared" si="0"/>
        <v>18-05-1999</v>
      </c>
      <c r="F24" s="7">
        <v>43853</v>
      </c>
      <c r="G24" s="11"/>
    </row>
    <row r="25" spans="1:7">
      <c r="A25" s="4" t="s">
        <v>2556</v>
      </c>
      <c r="B25" s="4" t="s">
        <v>27</v>
      </c>
      <c r="C25" s="4" t="s">
        <v>505</v>
      </c>
      <c r="D25" s="9">
        <v>88430</v>
      </c>
      <c r="E25" s="9" t="str">
        <f t="shared" si="0"/>
        <v>09-02-2142</v>
      </c>
      <c r="F25" s="7">
        <v>43854</v>
      </c>
      <c r="G25" s="11"/>
    </row>
    <row r="26" spans="1:7">
      <c r="A26" s="4" t="s">
        <v>2557</v>
      </c>
      <c r="B26" s="4" t="s">
        <v>28</v>
      </c>
      <c r="C26" s="4" t="s">
        <v>508</v>
      </c>
      <c r="D26" s="9">
        <v>82602</v>
      </c>
      <c r="E26" s="9" t="str">
        <f t="shared" si="0"/>
        <v>25-02-2126</v>
      </c>
      <c r="F26" s="7">
        <v>43855</v>
      </c>
      <c r="G26" s="11"/>
    </row>
    <row r="27" spans="1:7">
      <c r="A27" s="4" t="s">
        <v>2558</v>
      </c>
      <c r="B27" s="4" t="s">
        <v>29</v>
      </c>
      <c r="C27" s="4" t="s">
        <v>507</v>
      </c>
      <c r="D27" s="9">
        <v>64727</v>
      </c>
      <c r="E27" s="9" t="str">
        <f t="shared" si="0"/>
        <v>18-03-2077</v>
      </c>
      <c r="F27" s="7">
        <v>43856</v>
      </c>
      <c r="G27" s="11"/>
    </row>
    <row r="28" spans="1:7">
      <c r="A28" s="4" t="s">
        <v>2559</v>
      </c>
      <c r="B28" s="4" t="s">
        <v>30</v>
      </c>
      <c r="C28" s="4" t="s">
        <v>505</v>
      </c>
      <c r="D28" s="9">
        <v>95590</v>
      </c>
      <c r="E28" s="9" t="str">
        <f t="shared" si="0"/>
        <v>17-09-2161</v>
      </c>
      <c r="F28" s="7">
        <v>43857</v>
      </c>
      <c r="G28" s="11"/>
    </row>
    <row r="29" spans="1:7">
      <c r="A29" s="4" t="s">
        <v>2560</v>
      </c>
      <c r="B29" s="4" t="s">
        <v>31</v>
      </c>
      <c r="C29" s="4" t="s">
        <v>504</v>
      </c>
      <c r="D29" s="9">
        <v>68202</v>
      </c>
      <c r="E29" s="9" t="str">
        <f t="shared" si="0"/>
        <v>22-09-2086</v>
      </c>
      <c r="F29" s="7">
        <v>43858</v>
      </c>
      <c r="G29" s="11"/>
    </row>
    <row r="30" spans="1:7">
      <c r="A30" s="4" t="s">
        <v>2561</v>
      </c>
      <c r="B30" s="4" t="s">
        <v>32</v>
      </c>
      <c r="C30" s="4" t="s">
        <v>506</v>
      </c>
      <c r="D30" s="9">
        <v>85761</v>
      </c>
      <c r="E30" s="9" t="str">
        <f t="shared" si="0"/>
        <v>20-10-2134</v>
      </c>
      <c r="F30" s="7">
        <v>43859</v>
      </c>
      <c r="G30" s="11"/>
    </row>
    <row r="31" spans="1:7">
      <c r="A31" s="4" t="s">
        <v>2562</v>
      </c>
      <c r="B31" s="4" t="s">
        <v>33</v>
      </c>
      <c r="C31" s="4" t="s">
        <v>504</v>
      </c>
      <c r="D31" s="9">
        <v>49399</v>
      </c>
      <c r="E31" s="9" t="str">
        <f t="shared" si="0"/>
        <v>31-03-2035</v>
      </c>
      <c r="F31" s="7">
        <v>43860</v>
      </c>
      <c r="G31" s="11"/>
    </row>
    <row r="32" spans="1:7">
      <c r="A32" s="4" t="s">
        <v>2563</v>
      </c>
      <c r="B32" s="4" t="s">
        <v>34</v>
      </c>
      <c r="C32" s="4" t="s">
        <v>506</v>
      </c>
      <c r="D32" s="9">
        <v>69554</v>
      </c>
      <c r="E32" s="9" t="str">
        <f t="shared" si="0"/>
        <v>05-06-2090</v>
      </c>
      <c r="F32" s="7">
        <v>43861</v>
      </c>
      <c r="G32" s="11"/>
    </row>
    <row r="33" spans="1:7">
      <c r="A33" s="4" t="s">
        <v>2564</v>
      </c>
      <c r="B33" s="4" t="s">
        <v>35</v>
      </c>
      <c r="C33" s="4" t="s">
        <v>504</v>
      </c>
      <c r="D33" s="9">
        <v>83146</v>
      </c>
      <c r="E33" s="9" t="str">
        <f t="shared" si="0"/>
        <v>23-08-2127</v>
      </c>
      <c r="F33" s="7">
        <v>43862</v>
      </c>
      <c r="G33" s="11"/>
    </row>
    <row r="34" spans="1:7">
      <c r="A34" s="4" t="s">
        <v>2565</v>
      </c>
      <c r="B34" s="4" t="s">
        <v>36</v>
      </c>
      <c r="C34" s="4" t="s">
        <v>508</v>
      </c>
      <c r="D34" s="9">
        <v>44383</v>
      </c>
      <c r="E34" s="9" t="str">
        <f t="shared" si="0"/>
        <v>06-07-2021</v>
      </c>
      <c r="F34" s="7">
        <v>43863</v>
      </c>
      <c r="G34" s="11"/>
    </row>
    <row r="35" spans="1:7">
      <c r="A35" s="4" t="s">
        <v>2566</v>
      </c>
      <c r="B35" s="4" t="s">
        <v>37</v>
      </c>
      <c r="C35" s="4" t="s">
        <v>507</v>
      </c>
      <c r="D35" s="9">
        <v>66495</v>
      </c>
      <c r="E35" s="9" t="str">
        <f t="shared" si="0"/>
        <v>19-01-2082</v>
      </c>
      <c r="F35" s="7">
        <v>43864</v>
      </c>
      <c r="G35" s="11"/>
    </row>
    <row r="36" spans="1:7">
      <c r="A36" s="4" t="s">
        <v>2567</v>
      </c>
      <c r="B36" s="4" t="s">
        <v>38</v>
      </c>
      <c r="C36" s="4" t="s">
        <v>508</v>
      </c>
      <c r="D36" s="9">
        <v>88111</v>
      </c>
      <c r="E36" s="9" t="str">
        <f t="shared" si="0"/>
        <v>27-03-2141</v>
      </c>
      <c r="F36" s="7">
        <v>43865</v>
      </c>
      <c r="G36" s="11"/>
    </row>
    <row r="37" spans="1:7">
      <c r="A37" s="4" t="s">
        <v>2568</v>
      </c>
      <c r="B37" s="4" t="s">
        <v>39</v>
      </c>
      <c r="C37" s="4" t="s">
        <v>507</v>
      </c>
      <c r="D37" s="9">
        <v>76319</v>
      </c>
      <c r="E37" s="9" t="str">
        <f t="shared" si="0"/>
        <v>13-12-2108</v>
      </c>
      <c r="F37" s="7">
        <v>43866</v>
      </c>
      <c r="G37" s="11"/>
    </row>
    <row r="38" spans="1:7">
      <c r="A38" s="4" t="s">
        <v>2569</v>
      </c>
      <c r="B38" s="4" t="s">
        <v>40</v>
      </c>
      <c r="C38" s="4" t="s">
        <v>506</v>
      </c>
      <c r="D38" s="9">
        <v>76486</v>
      </c>
      <c r="E38" s="9" t="str">
        <f t="shared" si="0"/>
        <v>29-05-2109</v>
      </c>
      <c r="F38" s="7">
        <v>43867</v>
      </c>
      <c r="G38" s="11"/>
    </row>
    <row r="39" spans="1:7">
      <c r="A39" s="4" t="s">
        <v>2570</v>
      </c>
      <c r="B39" s="4" t="s">
        <v>41</v>
      </c>
      <c r="C39" s="4" t="s">
        <v>504</v>
      </c>
      <c r="D39" s="9">
        <v>87642</v>
      </c>
      <c r="E39" s="9" t="str">
        <f t="shared" si="0"/>
        <v>14-12-2139</v>
      </c>
      <c r="F39" s="7">
        <v>43868</v>
      </c>
      <c r="G39" s="11"/>
    </row>
    <row r="40" spans="1:7">
      <c r="A40" s="4" t="s">
        <v>2571</v>
      </c>
      <c r="B40" s="4" t="s">
        <v>42</v>
      </c>
      <c r="C40" s="4" t="s">
        <v>504</v>
      </c>
      <c r="D40" s="9">
        <v>35215</v>
      </c>
      <c r="E40" s="9" t="str">
        <f t="shared" si="0"/>
        <v>30-05-1996</v>
      </c>
      <c r="F40" s="7">
        <v>43869</v>
      </c>
      <c r="G40" s="11"/>
    </row>
    <row r="41" spans="1:7">
      <c r="A41" s="4" t="s">
        <v>2572</v>
      </c>
      <c r="B41" s="4" t="s">
        <v>43</v>
      </c>
      <c r="C41" s="4" t="s">
        <v>506</v>
      </c>
      <c r="D41" s="9">
        <v>92570</v>
      </c>
      <c r="E41" s="9" t="str">
        <f t="shared" si="0"/>
        <v>11-06-2153</v>
      </c>
      <c r="F41" s="7">
        <v>43870</v>
      </c>
      <c r="G41" s="11"/>
    </row>
    <row r="42" spans="1:7">
      <c r="A42" s="4" t="s">
        <v>2573</v>
      </c>
      <c r="B42" s="4" t="s">
        <v>44</v>
      </c>
      <c r="C42" s="4" t="s">
        <v>504</v>
      </c>
      <c r="D42" s="9">
        <v>41892</v>
      </c>
      <c r="E42" s="9" t="str">
        <f t="shared" si="0"/>
        <v>10-09-2014</v>
      </c>
      <c r="F42" s="7">
        <v>43871</v>
      </c>
      <c r="G42" s="11"/>
    </row>
    <row r="43" spans="1:7">
      <c r="A43" s="4" t="s">
        <v>2574</v>
      </c>
      <c r="B43" s="4" t="s">
        <v>45</v>
      </c>
      <c r="C43" s="4" t="s">
        <v>508</v>
      </c>
      <c r="D43" s="9">
        <v>67821</v>
      </c>
      <c r="E43" s="9" t="str">
        <f t="shared" si="0"/>
        <v>06-09-2085</v>
      </c>
      <c r="F43" s="7">
        <v>43872</v>
      </c>
      <c r="G43" s="11"/>
    </row>
    <row r="44" spans="1:7">
      <c r="A44" s="4" t="s">
        <v>2575</v>
      </c>
      <c r="B44" s="4" t="s">
        <v>46</v>
      </c>
      <c r="C44" s="4" t="s">
        <v>506</v>
      </c>
      <c r="D44" s="9">
        <v>82560</v>
      </c>
      <c r="E44" s="9" t="str">
        <f t="shared" si="0"/>
        <v>14-01-2126</v>
      </c>
      <c r="F44" s="7">
        <v>43873</v>
      </c>
      <c r="G44" s="11"/>
    </row>
    <row r="45" spans="1:7">
      <c r="A45" s="4" t="s">
        <v>2576</v>
      </c>
      <c r="B45" s="4" t="s">
        <v>47</v>
      </c>
      <c r="C45" s="4" t="s">
        <v>505</v>
      </c>
      <c r="D45" s="9">
        <v>53324</v>
      </c>
      <c r="E45" s="9" t="str">
        <f t="shared" si="0"/>
        <v>28-12-2045</v>
      </c>
      <c r="F45" s="7">
        <v>43874</v>
      </c>
      <c r="G45" s="11"/>
    </row>
    <row r="46" spans="1:7">
      <c r="A46" s="4" t="s">
        <v>2577</v>
      </c>
      <c r="B46" s="4" t="s">
        <v>48</v>
      </c>
      <c r="C46" s="4" t="s">
        <v>508</v>
      </c>
      <c r="D46" s="9">
        <v>80107</v>
      </c>
      <c r="E46" s="9" t="str">
        <f t="shared" si="0"/>
        <v>28-04-2119</v>
      </c>
      <c r="F46" s="7">
        <v>43875</v>
      </c>
      <c r="G46" s="11"/>
    </row>
    <row r="47" spans="1:7">
      <c r="A47" s="4" t="s">
        <v>2578</v>
      </c>
      <c r="B47" s="4" t="s">
        <v>49</v>
      </c>
      <c r="C47" s="4" t="s">
        <v>506</v>
      </c>
      <c r="D47" s="9">
        <v>87517</v>
      </c>
      <c r="E47" s="9" t="str">
        <f t="shared" si="0"/>
        <v>11-08-2139</v>
      </c>
      <c r="F47" s="7">
        <v>43876</v>
      </c>
      <c r="G47" s="11"/>
    </row>
    <row r="48" spans="1:7">
      <c r="A48" s="4" t="s">
        <v>2579</v>
      </c>
      <c r="B48" s="4" t="s">
        <v>50</v>
      </c>
      <c r="C48" s="4" t="s">
        <v>508</v>
      </c>
      <c r="D48" s="9">
        <v>85636</v>
      </c>
      <c r="E48" s="9" t="str">
        <f t="shared" si="0"/>
        <v>17-06-2134</v>
      </c>
      <c r="F48" s="7">
        <v>43877</v>
      </c>
      <c r="G48" s="11"/>
    </row>
    <row r="49" spans="1:7">
      <c r="A49" s="4" t="s">
        <v>2580</v>
      </c>
      <c r="B49" s="4" t="s">
        <v>51</v>
      </c>
      <c r="C49" s="4" t="s">
        <v>508</v>
      </c>
      <c r="D49" s="9">
        <v>56908</v>
      </c>
      <c r="E49" s="9" t="str">
        <f t="shared" si="0"/>
        <v>21-10-2055</v>
      </c>
      <c r="F49" s="7">
        <v>43878</v>
      </c>
      <c r="G49" s="11"/>
    </row>
    <row r="50" spans="1:7">
      <c r="A50" s="4" t="s">
        <v>2581</v>
      </c>
      <c r="B50" s="4" t="s">
        <v>52</v>
      </c>
      <c r="C50" s="4" t="s">
        <v>507</v>
      </c>
      <c r="D50" s="9">
        <v>88072</v>
      </c>
      <c r="E50" s="9" t="str">
        <f t="shared" si="0"/>
        <v>16-02-2141</v>
      </c>
      <c r="F50" s="7">
        <v>43879</v>
      </c>
      <c r="G50" s="11"/>
    </row>
    <row r="51" spans="1:7">
      <c r="A51" s="4" t="s">
        <v>2582</v>
      </c>
      <c r="B51" s="4" t="s">
        <v>53</v>
      </c>
      <c r="C51" s="4" t="s">
        <v>505</v>
      </c>
      <c r="D51" s="9">
        <v>80813</v>
      </c>
      <c r="E51" s="9" t="str">
        <f t="shared" si="0"/>
        <v>03-04-2121</v>
      </c>
      <c r="F51" s="7">
        <v>43880</v>
      </c>
      <c r="G51" s="11"/>
    </row>
    <row r="52" spans="1:7">
      <c r="A52" s="4" t="s">
        <v>2583</v>
      </c>
      <c r="B52" s="4" t="s">
        <v>54</v>
      </c>
      <c r="C52" s="4" t="s">
        <v>508</v>
      </c>
      <c r="D52" s="9">
        <v>89083</v>
      </c>
      <c r="E52" s="9" t="str">
        <f t="shared" si="0"/>
        <v>24-11-2143</v>
      </c>
      <c r="F52" s="7">
        <v>43881</v>
      </c>
      <c r="G52" s="11"/>
    </row>
    <row r="53" spans="1:7">
      <c r="A53" s="4" t="s">
        <v>2584</v>
      </c>
      <c r="B53" s="4" t="s">
        <v>55</v>
      </c>
      <c r="C53" s="4" t="s">
        <v>507</v>
      </c>
      <c r="D53" s="9">
        <v>73443</v>
      </c>
      <c r="E53" s="9" t="str">
        <f t="shared" si="0"/>
        <v>28-01-2101</v>
      </c>
      <c r="F53" s="7">
        <v>43882</v>
      </c>
      <c r="G53" s="11"/>
    </row>
    <row r="54" spans="1:7">
      <c r="A54" s="4" t="s">
        <v>2585</v>
      </c>
      <c r="B54" s="4" t="s">
        <v>56</v>
      </c>
      <c r="C54" s="4" t="s">
        <v>507</v>
      </c>
      <c r="D54" s="9">
        <v>69633</v>
      </c>
      <c r="E54" s="9" t="str">
        <f t="shared" si="0"/>
        <v>23-08-2090</v>
      </c>
      <c r="F54" s="7">
        <v>43883</v>
      </c>
      <c r="G54" s="11"/>
    </row>
    <row r="55" spans="1:7">
      <c r="A55" s="4" t="s">
        <v>2586</v>
      </c>
      <c r="B55" s="4" t="s">
        <v>57</v>
      </c>
      <c r="C55" s="4" t="s">
        <v>506</v>
      </c>
      <c r="D55" s="9">
        <v>97712</v>
      </c>
      <c r="E55" s="9" t="str">
        <f t="shared" si="0"/>
        <v>10-07-2167</v>
      </c>
      <c r="F55" s="7">
        <v>43884</v>
      </c>
      <c r="G55" s="11"/>
    </row>
    <row r="56" spans="1:7">
      <c r="A56" s="4" t="s">
        <v>2587</v>
      </c>
      <c r="B56" s="4" t="s">
        <v>58</v>
      </c>
      <c r="C56" s="4" t="s">
        <v>505</v>
      </c>
      <c r="D56" s="9">
        <v>40753</v>
      </c>
      <c r="E56" s="9" t="str">
        <f t="shared" si="0"/>
        <v>29-07-2011</v>
      </c>
      <c r="F56" s="7">
        <v>43885</v>
      </c>
      <c r="G56" s="11"/>
    </row>
    <row r="57" spans="1:7">
      <c r="A57" s="4" t="s">
        <v>2588</v>
      </c>
      <c r="B57" s="4" t="s">
        <v>59</v>
      </c>
      <c r="C57" s="4" t="s">
        <v>508</v>
      </c>
      <c r="D57" s="9">
        <v>91535</v>
      </c>
      <c r="E57" s="9" t="str">
        <f t="shared" si="0"/>
        <v>11-08-2150</v>
      </c>
      <c r="F57" s="7">
        <v>43886</v>
      </c>
      <c r="G57" s="11"/>
    </row>
    <row r="58" spans="1:7">
      <c r="A58" s="4" t="s">
        <v>2589</v>
      </c>
      <c r="B58" s="4" t="s">
        <v>60</v>
      </c>
      <c r="C58" s="4" t="s">
        <v>506</v>
      </c>
      <c r="D58" s="9">
        <v>34899</v>
      </c>
      <c r="E58" s="9" t="str">
        <f t="shared" si="0"/>
        <v>19-07-1995</v>
      </c>
      <c r="F58" s="7">
        <v>43887</v>
      </c>
      <c r="G58" s="11"/>
    </row>
    <row r="59" spans="1:7">
      <c r="A59" s="4" t="s">
        <v>2590</v>
      </c>
      <c r="B59" s="4" t="s">
        <v>61</v>
      </c>
      <c r="C59" s="4" t="s">
        <v>506</v>
      </c>
      <c r="D59" s="9">
        <v>83090</v>
      </c>
      <c r="E59" s="9" t="str">
        <f t="shared" si="0"/>
        <v>28-06-2127</v>
      </c>
      <c r="F59" s="7">
        <v>43888</v>
      </c>
      <c r="G59" s="11"/>
    </row>
    <row r="60" spans="1:7">
      <c r="A60" s="4" t="s">
        <v>2591</v>
      </c>
      <c r="B60" s="4" t="s">
        <v>62</v>
      </c>
      <c r="C60" s="4" t="s">
        <v>505</v>
      </c>
      <c r="D60" s="9">
        <v>58057</v>
      </c>
      <c r="E60" s="9" t="str">
        <f t="shared" si="0"/>
        <v>13-12-2058</v>
      </c>
      <c r="F60" s="7">
        <v>43889</v>
      </c>
      <c r="G60" s="11"/>
    </row>
    <row r="61" spans="1:7">
      <c r="A61" s="4" t="s">
        <v>2592</v>
      </c>
      <c r="B61" s="4" t="s">
        <v>63</v>
      </c>
      <c r="C61" s="4" t="s">
        <v>507</v>
      </c>
      <c r="D61" s="9">
        <v>40253</v>
      </c>
      <c r="E61" s="9" t="str">
        <f t="shared" si="0"/>
        <v>16-03-2010</v>
      </c>
      <c r="F61" s="7">
        <v>43890</v>
      </c>
      <c r="G61" s="11"/>
    </row>
    <row r="62" spans="1:7">
      <c r="A62" s="4" t="s">
        <v>2593</v>
      </c>
      <c r="B62" s="4" t="s">
        <v>64</v>
      </c>
      <c r="C62" s="4" t="s">
        <v>506</v>
      </c>
      <c r="D62" s="9">
        <v>83023</v>
      </c>
      <c r="E62" s="9" t="str">
        <f t="shared" si="0"/>
        <v>22-04-2127</v>
      </c>
      <c r="F62" s="7">
        <v>43891</v>
      </c>
      <c r="G62" s="11"/>
    </row>
    <row r="63" spans="1:7">
      <c r="A63" s="4" t="s">
        <v>2594</v>
      </c>
      <c r="B63" s="4" t="s">
        <v>65</v>
      </c>
      <c r="C63" s="4" t="s">
        <v>505</v>
      </c>
      <c r="D63" s="9">
        <v>91209</v>
      </c>
      <c r="E63" s="9" t="str">
        <f t="shared" si="0"/>
        <v>19-09-2149</v>
      </c>
      <c r="F63" s="7">
        <v>43892</v>
      </c>
      <c r="G63" s="11"/>
    </row>
    <row r="64" spans="1:7">
      <c r="A64" s="4" t="s">
        <v>2595</v>
      </c>
      <c r="B64" s="4" t="s">
        <v>66</v>
      </c>
      <c r="C64" s="4" t="s">
        <v>504</v>
      </c>
      <c r="D64" s="9">
        <v>57966</v>
      </c>
      <c r="E64" s="9" t="str">
        <f t="shared" si="0"/>
        <v>13-09-2058</v>
      </c>
      <c r="F64" s="7">
        <v>43893</v>
      </c>
      <c r="G64" s="11"/>
    </row>
    <row r="65" spans="1:7">
      <c r="A65" s="4" t="s">
        <v>2596</v>
      </c>
      <c r="B65" s="4" t="s">
        <v>67</v>
      </c>
      <c r="C65" s="4" t="s">
        <v>507</v>
      </c>
      <c r="D65" s="9">
        <v>62242</v>
      </c>
      <c r="E65" s="9" t="str">
        <f t="shared" si="0"/>
        <v>29-05-2070</v>
      </c>
      <c r="F65" s="7">
        <v>43894</v>
      </c>
      <c r="G65" s="11"/>
    </row>
    <row r="66" spans="1:7">
      <c r="A66" s="4" t="s">
        <v>2597</v>
      </c>
      <c r="B66" s="4" t="s">
        <v>68</v>
      </c>
      <c r="C66" s="4" t="s">
        <v>504</v>
      </c>
      <c r="D66" s="9">
        <v>90557</v>
      </c>
      <c r="E66" s="9" t="str">
        <f t="shared" si="0"/>
        <v>07-12-2147</v>
      </c>
      <c r="F66" s="7">
        <v>43895</v>
      </c>
      <c r="G66" s="11"/>
    </row>
    <row r="67" spans="1:7">
      <c r="A67" s="4" t="s">
        <v>2598</v>
      </c>
      <c r="B67" s="4" t="s">
        <v>69</v>
      </c>
      <c r="C67" s="4" t="s">
        <v>508</v>
      </c>
      <c r="D67" s="9">
        <v>50230</v>
      </c>
      <c r="E67" s="9" t="str">
        <f t="shared" ref="E67:E130" si="1">TEXT(D67,"DD-MM-YYYY")</f>
        <v>09-07-2037</v>
      </c>
      <c r="F67" s="7">
        <v>43896</v>
      </c>
      <c r="G67" s="11"/>
    </row>
    <row r="68" spans="1:7">
      <c r="A68" s="4" t="s">
        <v>2599</v>
      </c>
      <c r="B68" s="4" t="s">
        <v>70</v>
      </c>
      <c r="C68" s="4" t="s">
        <v>506</v>
      </c>
      <c r="D68" s="9">
        <v>68110</v>
      </c>
      <c r="E68" s="9" t="str">
        <f t="shared" si="1"/>
        <v>22-06-2086</v>
      </c>
      <c r="F68" s="7">
        <v>43897</v>
      </c>
      <c r="G68" s="11"/>
    </row>
    <row r="69" spans="1:7">
      <c r="A69" s="4" t="s">
        <v>2600</v>
      </c>
      <c r="B69" s="4" t="s">
        <v>71</v>
      </c>
      <c r="C69" s="4" t="s">
        <v>505</v>
      </c>
      <c r="D69" s="9">
        <v>82443</v>
      </c>
      <c r="E69" s="9" t="str">
        <f t="shared" si="1"/>
        <v>19-09-2125</v>
      </c>
      <c r="F69" s="7">
        <v>43898</v>
      </c>
      <c r="G69" s="11"/>
    </row>
    <row r="70" spans="1:7">
      <c r="A70" s="4" t="s">
        <v>2601</v>
      </c>
      <c r="B70" s="4" t="s">
        <v>72</v>
      </c>
      <c r="C70" s="4" t="s">
        <v>508</v>
      </c>
      <c r="D70" s="9">
        <v>47057</v>
      </c>
      <c r="E70" s="9" t="str">
        <f t="shared" si="1"/>
        <v>31-10-2028</v>
      </c>
      <c r="F70" s="7">
        <v>43899</v>
      </c>
      <c r="G70" s="11"/>
    </row>
    <row r="71" spans="1:7">
      <c r="A71" s="4" t="s">
        <v>2602</v>
      </c>
      <c r="B71" s="4" t="s">
        <v>73</v>
      </c>
      <c r="C71" s="4" t="s">
        <v>507</v>
      </c>
      <c r="D71" s="9">
        <v>32425</v>
      </c>
      <c r="E71" s="9" t="str">
        <f t="shared" si="1"/>
        <v>09-10-1988</v>
      </c>
      <c r="F71" s="7">
        <v>43900</v>
      </c>
      <c r="G71" s="11"/>
    </row>
    <row r="72" spans="1:7">
      <c r="A72" s="4" t="s">
        <v>2603</v>
      </c>
      <c r="B72" s="4" t="s">
        <v>74</v>
      </c>
      <c r="C72" s="4" t="s">
        <v>508</v>
      </c>
      <c r="D72" s="9">
        <v>80828</v>
      </c>
      <c r="E72" s="9" t="str">
        <f t="shared" si="1"/>
        <v>18-04-2121</v>
      </c>
      <c r="F72" s="7">
        <v>43901</v>
      </c>
      <c r="G72" s="11"/>
    </row>
    <row r="73" spans="1:7">
      <c r="A73" s="4" t="s">
        <v>2604</v>
      </c>
      <c r="B73" s="4" t="s">
        <v>75</v>
      </c>
      <c r="C73" s="4" t="s">
        <v>506</v>
      </c>
      <c r="D73" s="9">
        <v>49548</v>
      </c>
      <c r="E73" s="9" t="str">
        <f t="shared" si="1"/>
        <v>27-08-2035</v>
      </c>
      <c r="F73" s="7">
        <v>43902</v>
      </c>
      <c r="G73" s="11"/>
    </row>
    <row r="74" spans="1:7">
      <c r="A74" s="4" t="s">
        <v>2605</v>
      </c>
      <c r="B74" s="4" t="s">
        <v>76</v>
      </c>
      <c r="C74" s="4" t="s">
        <v>507</v>
      </c>
      <c r="D74" s="9">
        <v>78130</v>
      </c>
      <c r="E74" s="9" t="str">
        <f t="shared" si="1"/>
        <v>28-11-2113</v>
      </c>
      <c r="F74" s="7">
        <v>43903</v>
      </c>
      <c r="G74" s="11"/>
    </row>
    <row r="75" spans="1:7">
      <c r="A75" s="4" t="s">
        <v>2606</v>
      </c>
      <c r="B75" s="4" t="s">
        <v>77</v>
      </c>
      <c r="C75" s="4" t="s">
        <v>505</v>
      </c>
      <c r="D75" s="9">
        <v>84910</v>
      </c>
      <c r="E75" s="9" t="str">
        <f t="shared" si="1"/>
        <v>21-06-2132</v>
      </c>
      <c r="F75" s="7">
        <v>43904</v>
      </c>
      <c r="G75" s="11"/>
    </row>
    <row r="76" spans="1:7">
      <c r="A76" s="4" t="s">
        <v>2607</v>
      </c>
      <c r="B76" s="4" t="s">
        <v>78</v>
      </c>
      <c r="C76" s="4" t="s">
        <v>508</v>
      </c>
      <c r="D76" s="9">
        <v>60703</v>
      </c>
      <c r="E76" s="9" t="str">
        <f t="shared" si="1"/>
        <v>12-03-2066</v>
      </c>
      <c r="F76" s="7">
        <v>43905</v>
      </c>
      <c r="G76" s="11"/>
    </row>
    <row r="77" spans="1:7">
      <c r="A77" s="4" t="s">
        <v>2608</v>
      </c>
      <c r="B77" s="4" t="s">
        <v>79</v>
      </c>
      <c r="C77" s="4" t="s">
        <v>507</v>
      </c>
      <c r="D77" s="9">
        <v>40726</v>
      </c>
      <c r="E77" s="9" t="str">
        <f t="shared" si="1"/>
        <v>02-07-2011</v>
      </c>
      <c r="F77" s="7">
        <v>43906</v>
      </c>
      <c r="G77" s="11"/>
    </row>
    <row r="78" spans="1:7">
      <c r="A78" s="4" t="s">
        <v>2609</v>
      </c>
      <c r="B78" s="4" t="s">
        <v>80</v>
      </c>
      <c r="C78" s="4" t="s">
        <v>506</v>
      </c>
      <c r="D78" s="9">
        <v>99243</v>
      </c>
      <c r="E78" s="9" t="str">
        <f t="shared" si="1"/>
        <v>18-09-2171</v>
      </c>
      <c r="F78" s="7">
        <v>43907</v>
      </c>
      <c r="G78" s="11"/>
    </row>
    <row r="79" spans="1:7">
      <c r="A79" s="4" t="s">
        <v>2610</v>
      </c>
      <c r="B79" s="4" t="s">
        <v>81</v>
      </c>
      <c r="C79" s="4" t="s">
        <v>507</v>
      </c>
      <c r="D79" s="9">
        <v>39776</v>
      </c>
      <c r="E79" s="9" t="str">
        <f t="shared" si="1"/>
        <v>24-11-2008</v>
      </c>
      <c r="F79" s="7">
        <v>43908</v>
      </c>
      <c r="G79" s="11"/>
    </row>
    <row r="80" spans="1:7">
      <c r="A80" s="4" t="s">
        <v>2611</v>
      </c>
      <c r="B80" s="4" t="s">
        <v>82</v>
      </c>
      <c r="C80" s="4" t="s">
        <v>506</v>
      </c>
      <c r="D80" s="9">
        <v>94701</v>
      </c>
      <c r="E80" s="9" t="str">
        <f t="shared" si="1"/>
        <v>12-04-2159</v>
      </c>
      <c r="F80" s="7">
        <v>43909</v>
      </c>
      <c r="G80" s="11"/>
    </row>
    <row r="81" spans="1:7">
      <c r="A81" s="4" t="s">
        <v>2612</v>
      </c>
      <c r="B81" s="4" t="s">
        <v>83</v>
      </c>
      <c r="C81" s="4" t="s">
        <v>504</v>
      </c>
      <c r="D81" s="9">
        <v>31035</v>
      </c>
      <c r="E81" s="9" t="str">
        <f t="shared" si="1"/>
        <v>19-12-1984</v>
      </c>
      <c r="F81" s="7">
        <v>43910</v>
      </c>
      <c r="G81" s="11"/>
    </row>
    <row r="82" spans="1:7">
      <c r="A82" s="4" t="s">
        <v>2613</v>
      </c>
      <c r="B82" s="4" t="s">
        <v>84</v>
      </c>
      <c r="C82" s="4" t="s">
        <v>505</v>
      </c>
      <c r="D82" s="9">
        <v>61449</v>
      </c>
      <c r="E82" s="9" t="str">
        <f t="shared" si="1"/>
        <v>27-03-2068</v>
      </c>
      <c r="F82" s="7">
        <v>43911</v>
      </c>
      <c r="G82" s="11"/>
    </row>
    <row r="83" spans="1:7">
      <c r="A83" s="4" t="s">
        <v>2614</v>
      </c>
      <c r="B83" s="4" t="s">
        <v>85</v>
      </c>
      <c r="C83" s="4" t="s">
        <v>504</v>
      </c>
      <c r="D83" s="9">
        <v>37950</v>
      </c>
      <c r="E83" s="9" t="str">
        <f t="shared" si="1"/>
        <v>25-11-2003</v>
      </c>
      <c r="F83" s="7">
        <v>43912</v>
      </c>
      <c r="G83" s="11"/>
    </row>
    <row r="84" spans="1:7">
      <c r="A84" s="4" t="s">
        <v>2615</v>
      </c>
      <c r="B84" s="4" t="s">
        <v>86</v>
      </c>
      <c r="C84" s="4" t="s">
        <v>508</v>
      </c>
      <c r="D84" s="9">
        <v>97260</v>
      </c>
      <c r="E84" s="9" t="str">
        <f t="shared" si="1"/>
        <v>14-04-2166</v>
      </c>
      <c r="F84" s="7">
        <v>43913</v>
      </c>
      <c r="G84" s="11"/>
    </row>
    <row r="85" spans="1:7">
      <c r="A85" s="4" t="s">
        <v>2616</v>
      </c>
      <c r="B85" s="4" t="s">
        <v>87</v>
      </c>
      <c r="C85" s="4" t="s">
        <v>504</v>
      </c>
      <c r="D85" s="9">
        <v>83535</v>
      </c>
      <c r="E85" s="9" t="str">
        <f t="shared" si="1"/>
        <v>15-09-2128</v>
      </c>
      <c r="F85" s="7">
        <v>43914</v>
      </c>
      <c r="G85" s="11"/>
    </row>
    <row r="86" spans="1:7">
      <c r="A86" s="4" t="s">
        <v>2617</v>
      </c>
      <c r="B86" s="4" t="s">
        <v>88</v>
      </c>
      <c r="C86" s="4" t="s">
        <v>505</v>
      </c>
      <c r="D86" s="9">
        <v>68970</v>
      </c>
      <c r="E86" s="9" t="str">
        <f t="shared" si="1"/>
        <v>29-10-2088</v>
      </c>
      <c r="F86" s="7">
        <v>43915</v>
      </c>
      <c r="G86" s="11"/>
    </row>
    <row r="87" spans="1:7">
      <c r="A87" s="4" t="s">
        <v>2618</v>
      </c>
      <c r="B87" s="4" t="s">
        <v>89</v>
      </c>
      <c r="C87" s="4" t="s">
        <v>508</v>
      </c>
      <c r="D87" s="9">
        <v>74637</v>
      </c>
      <c r="E87" s="9" t="str">
        <f t="shared" si="1"/>
        <v>06-05-2104</v>
      </c>
      <c r="F87" s="7">
        <v>43916</v>
      </c>
      <c r="G87" s="11"/>
    </row>
    <row r="88" spans="1:7">
      <c r="A88" s="4" t="s">
        <v>2619</v>
      </c>
      <c r="B88" s="4" t="s">
        <v>90</v>
      </c>
      <c r="C88" s="4" t="s">
        <v>504</v>
      </c>
      <c r="D88" s="9">
        <v>68350</v>
      </c>
      <c r="E88" s="9" t="str">
        <f t="shared" si="1"/>
        <v>17-02-2087</v>
      </c>
      <c r="F88" s="7">
        <v>43917</v>
      </c>
      <c r="G88" s="11"/>
    </row>
    <row r="89" spans="1:7">
      <c r="A89" s="4" t="s">
        <v>2620</v>
      </c>
      <c r="B89" s="4" t="s">
        <v>91</v>
      </c>
      <c r="C89" s="4" t="s">
        <v>504</v>
      </c>
      <c r="D89" s="9">
        <v>88774</v>
      </c>
      <c r="E89" s="9" t="str">
        <f t="shared" si="1"/>
        <v>19-01-2143</v>
      </c>
      <c r="F89" s="7">
        <v>43918</v>
      </c>
      <c r="G89" s="11"/>
    </row>
    <row r="90" spans="1:7">
      <c r="A90" s="4" t="s">
        <v>2621</v>
      </c>
      <c r="B90" s="4" t="s">
        <v>92</v>
      </c>
      <c r="C90" s="4" t="s">
        <v>507</v>
      </c>
      <c r="D90" s="9">
        <v>61854</v>
      </c>
      <c r="E90" s="9" t="str">
        <f t="shared" si="1"/>
        <v>06-05-2069</v>
      </c>
      <c r="F90" s="7">
        <v>43919</v>
      </c>
      <c r="G90" s="11"/>
    </row>
    <row r="91" spans="1:7">
      <c r="A91" s="4" t="s">
        <v>2622</v>
      </c>
      <c r="B91" s="4" t="s">
        <v>93</v>
      </c>
      <c r="C91" s="4" t="s">
        <v>504</v>
      </c>
      <c r="D91" s="9">
        <v>92596</v>
      </c>
      <c r="E91" s="9" t="str">
        <f t="shared" si="1"/>
        <v>07-07-2153</v>
      </c>
      <c r="F91" s="7">
        <v>43920</v>
      </c>
      <c r="G91" s="11"/>
    </row>
    <row r="92" spans="1:7">
      <c r="A92" s="4" t="s">
        <v>2623</v>
      </c>
      <c r="B92" s="4" t="s">
        <v>94</v>
      </c>
      <c r="C92" s="4" t="s">
        <v>504</v>
      </c>
      <c r="D92" s="9">
        <v>43849</v>
      </c>
      <c r="E92" s="9" t="str">
        <f t="shared" si="1"/>
        <v>19-01-2020</v>
      </c>
      <c r="F92" s="7">
        <v>43921</v>
      </c>
      <c r="G92" s="11"/>
    </row>
    <row r="93" spans="1:7">
      <c r="A93" s="4" t="s">
        <v>2624</v>
      </c>
      <c r="B93" s="4" t="s">
        <v>95</v>
      </c>
      <c r="C93" s="4" t="s">
        <v>508</v>
      </c>
      <c r="D93" s="9">
        <v>45185</v>
      </c>
      <c r="E93" s="9" t="str">
        <f t="shared" si="1"/>
        <v>16-09-2023</v>
      </c>
      <c r="F93" s="7">
        <v>43922</v>
      </c>
      <c r="G93" s="11"/>
    </row>
    <row r="94" spans="1:7">
      <c r="A94" s="4" t="s">
        <v>2625</v>
      </c>
      <c r="B94" s="4" t="s">
        <v>96</v>
      </c>
      <c r="C94" s="4" t="s">
        <v>506</v>
      </c>
      <c r="D94" s="9">
        <v>30608</v>
      </c>
      <c r="E94" s="9" t="str">
        <f t="shared" si="1"/>
        <v>19-10-1983</v>
      </c>
      <c r="F94" s="7">
        <v>43923</v>
      </c>
      <c r="G94" s="11"/>
    </row>
    <row r="95" spans="1:7">
      <c r="A95" s="4" t="s">
        <v>2626</v>
      </c>
      <c r="B95" s="4" t="s">
        <v>97</v>
      </c>
      <c r="C95" s="4" t="s">
        <v>506</v>
      </c>
      <c r="D95" s="9">
        <v>55236</v>
      </c>
      <c r="E95" s="9" t="str">
        <f t="shared" si="1"/>
        <v>24-03-2051</v>
      </c>
      <c r="F95" s="7">
        <v>43924</v>
      </c>
      <c r="G95" s="11"/>
    </row>
    <row r="96" spans="1:7">
      <c r="A96" s="4" t="s">
        <v>2627</v>
      </c>
      <c r="B96" s="4" t="s">
        <v>98</v>
      </c>
      <c r="C96" s="4" t="s">
        <v>507</v>
      </c>
      <c r="D96" s="9">
        <v>94519</v>
      </c>
      <c r="E96" s="9" t="str">
        <f t="shared" si="1"/>
        <v>12-10-2158</v>
      </c>
      <c r="F96" s="7">
        <v>43925</v>
      </c>
      <c r="G96" s="11"/>
    </row>
    <row r="97" spans="1:7">
      <c r="A97" s="4" t="s">
        <v>2628</v>
      </c>
      <c r="B97" s="4" t="s">
        <v>99</v>
      </c>
      <c r="C97" s="4" t="s">
        <v>507</v>
      </c>
      <c r="D97" s="9">
        <v>65864</v>
      </c>
      <c r="E97" s="9" t="str">
        <f t="shared" si="1"/>
        <v>28-04-2080</v>
      </c>
      <c r="F97" s="7">
        <v>43926</v>
      </c>
      <c r="G97" s="11"/>
    </row>
    <row r="98" spans="1:7">
      <c r="A98" s="4" t="s">
        <v>2629</v>
      </c>
      <c r="B98" s="4" t="s">
        <v>100</v>
      </c>
      <c r="C98" s="4" t="s">
        <v>508</v>
      </c>
      <c r="D98" s="9">
        <v>30336</v>
      </c>
      <c r="E98" s="9" t="str">
        <f t="shared" si="1"/>
        <v>20-01-1983</v>
      </c>
      <c r="F98" s="7">
        <v>43927</v>
      </c>
      <c r="G98" s="11"/>
    </row>
    <row r="99" spans="1:7">
      <c r="A99" s="4" t="s">
        <v>2630</v>
      </c>
      <c r="B99" s="4" t="s">
        <v>101</v>
      </c>
      <c r="C99" s="4" t="s">
        <v>507</v>
      </c>
      <c r="D99" s="9">
        <v>42351</v>
      </c>
      <c r="E99" s="9" t="str">
        <f t="shared" si="1"/>
        <v>13-12-2015</v>
      </c>
      <c r="F99" s="7">
        <v>43928</v>
      </c>
      <c r="G99" s="11"/>
    </row>
    <row r="100" spans="1:7">
      <c r="A100" s="4" t="s">
        <v>2631</v>
      </c>
      <c r="B100" s="4" t="s">
        <v>102</v>
      </c>
      <c r="C100" s="4" t="s">
        <v>508</v>
      </c>
      <c r="D100" s="9">
        <v>76360</v>
      </c>
      <c r="E100" s="9" t="str">
        <f t="shared" si="1"/>
        <v>23-01-2109</v>
      </c>
      <c r="F100" s="7">
        <v>43929</v>
      </c>
      <c r="G100" s="11"/>
    </row>
    <row r="101" spans="1:7">
      <c r="A101" s="4" t="s">
        <v>2632</v>
      </c>
      <c r="B101" s="4" t="s">
        <v>103</v>
      </c>
      <c r="C101" s="4" t="s">
        <v>508</v>
      </c>
      <c r="D101" s="9">
        <v>50478</v>
      </c>
      <c r="E101" s="9" t="str">
        <f t="shared" si="1"/>
        <v>14-03-2038</v>
      </c>
      <c r="F101" s="7">
        <v>43930</v>
      </c>
      <c r="G101" s="11"/>
    </row>
    <row r="102" spans="1:7">
      <c r="A102" s="4" t="s">
        <v>2633</v>
      </c>
      <c r="B102" s="4" t="s">
        <v>104</v>
      </c>
      <c r="C102" s="4" t="s">
        <v>506</v>
      </c>
      <c r="D102" s="9">
        <v>39072</v>
      </c>
      <c r="E102" s="9" t="str">
        <f t="shared" si="1"/>
        <v>21-12-2006</v>
      </c>
      <c r="F102" s="7">
        <v>43931</v>
      </c>
      <c r="G102" s="11"/>
    </row>
    <row r="103" spans="1:7">
      <c r="A103" s="4" t="s">
        <v>2634</v>
      </c>
      <c r="B103" s="4" t="s">
        <v>105</v>
      </c>
      <c r="C103" s="4" t="s">
        <v>508</v>
      </c>
      <c r="D103" s="9">
        <v>76249</v>
      </c>
      <c r="E103" s="9" t="str">
        <f t="shared" si="1"/>
        <v>04-10-2108</v>
      </c>
      <c r="F103" s="7">
        <v>43932</v>
      </c>
      <c r="G103" s="11"/>
    </row>
    <row r="104" spans="1:7">
      <c r="A104" s="4" t="s">
        <v>2635</v>
      </c>
      <c r="B104" s="4" t="s">
        <v>106</v>
      </c>
      <c r="C104" s="4" t="s">
        <v>506</v>
      </c>
      <c r="D104" s="9">
        <v>50574</v>
      </c>
      <c r="E104" s="9" t="str">
        <f t="shared" si="1"/>
        <v>18-06-2038</v>
      </c>
      <c r="F104" s="7">
        <v>43933</v>
      </c>
      <c r="G104" s="11"/>
    </row>
    <row r="105" spans="1:7">
      <c r="A105" s="4" t="s">
        <v>2636</v>
      </c>
      <c r="B105" s="4" t="s">
        <v>107</v>
      </c>
      <c r="C105" s="4" t="s">
        <v>504</v>
      </c>
      <c r="D105" s="9">
        <v>71785</v>
      </c>
      <c r="E105" s="9" t="str">
        <f t="shared" si="1"/>
        <v>14-07-2096</v>
      </c>
      <c r="F105" s="7">
        <v>43934</v>
      </c>
      <c r="G105" s="11"/>
    </row>
    <row r="106" spans="1:7">
      <c r="A106" s="4" t="s">
        <v>2637</v>
      </c>
      <c r="B106" s="4" t="s">
        <v>108</v>
      </c>
      <c r="C106" s="4" t="s">
        <v>506</v>
      </c>
      <c r="D106" s="9">
        <v>87816</v>
      </c>
      <c r="E106" s="9" t="str">
        <f t="shared" si="1"/>
        <v>05-06-2140</v>
      </c>
      <c r="F106" s="7">
        <v>43935</v>
      </c>
      <c r="G106" s="11"/>
    </row>
    <row r="107" spans="1:7">
      <c r="A107" s="4" t="s">
        <v>2638</v>
      </c>
      <c r="B107" s="4" t="s">
        <v>109</v>
      </c>
      <c r="C107" s="4" t="s">
        <v>508</v>
      </c>
      <c r="D107" s="9">
        <v>59629</v>
      </c>
      <c r="E107" s="9" t="str">
        <f t="shared" si="1"/>
        <v>03-04-2063</v>
      </c>
      <c r="F107" s="7">
        <v>43936</v>
      </c>
      <c r="G107" s="11"/>
    </row>
    <row r="108" spans="1:7">
      <c r="A108" s="4" t="s">
        <v>2639</v>
      </c>
      <c r="B108" s="4" t="s">
        <v>110</v>
      </c>
      <c r="C108" s="4" t="s">
        <v>506</v>
      </c>
      <c r="D108" s="9">
        <v>77397</v>
      </c>
      <c r="E108" s="9" t="str">
        <f t="shared" si="1"/>
        <v>26-11-2111</v>
      </c>
      <c r="F108" s="7">
        <v>43937</v>
      </c>
      <c r="G108" s="11"/>
    </row>
    <row r="109" spans="1:7">
      <c r="A109" s="4" t="s">
        <v>2640</v>
      </c>
      <c r="B109" s="4" t="s">
        <v>111</v>
      </c>
      <c r="C109" s="4" t="s">
        <v>504</v>
      </c>
      <c r="D109" s="9">
        <v>76856</v>
      </c>
      <c r="E109" s="9" t="str">
        <f t="shared" si="1"/>
        <v>03-06-2110</v>
      </c>
      <c r="F109" s="7">
        <v>43938</v>
      </c>
      <c r="G109" s="11"/>
    </row>
    <row r="110" spans="1:7">
      <c r="A110" s="4" t="s">
        <v>2641</v>
      </c>
      <c r="B110" s="4" t="s">
        <v>112</v>
      </c>
      <c r="C110" s="4" t="s">
        <v>504</v>
      </c>
      <c r="D110" s="9">
        <v>97312</v>
      </c>
      <c r="E110" s="9" t="str">
        <f t="shared" si="1"/>
        <v>05-06-2166</v>
      </c>
      <c r="F110" s="7">
        <v>43939</v>
      </c>
      <c r="G110" s="11"/>
    </row>
    <row r="111" spans="1:7">
      <c r="A111" s="4" t="s">
        <v>2642</v>
      </c>
      <c r="B111" s="4" t="s">
        <v>113</v>
      </c>
      <c r="C111" s="4" t="s">
        <v>507</v>
      </c>
      <c r="D111" s="9">
        <v>77636</v>
      </c>
      <c r="E111" s="9" t="str">
        <f t="shared" si="1"/>
        <v>22-07-2112</v>
      </c>
      <c r="F111" s="7">
        <v>43940</v>
      </c>
      <c r="G111" s="11"/>
    </row>
    <row r="112" spans="1:7">
      <c r="A112" s="4" t="s">
        <v>2643</v>
      </c>
      <c r="B112" s="4" t="s">
        <v>114</v>
      </c>
      <c r="C112" s="4" t="s">
        <v>508</v>
      </c>
      <c r="D112" s="9">
        <v>77049</v>
      </c>
      <c r="E112" s="9" t="str">
        <f t="shared" si="1"/>
        <v>13-12-2110</v>
      </c>
      <c r="F112" s="7">
        <v>43941</v>
      </c>
      <c r="G112" s="11"/>
    </row>
    <row r="113" spans="1:7">
      <c r="A113" s="4" t="s">
        <v>2644</v>
      </c>
      <c r="B113" s="4" t="s">
        <v>115</v>
      </c>
      <c r="C113" s="4" t="s">
        <v>506</v>
      </c>
      <c r="D113" s="9">
        <v>30086</v>
      </c>
      <c r="E113" s="9" t="str">
        <f t="shared" si="1"/>
        <v>15-05-1982</v>
      </c>
      <c r="F113" s="7">
        <v>43942</v>
      </c>
      <c r="G113" s="11"/>
    </row>
    <row r="114" spans="1:7">
      <c r="A114" s="4" t="s">
        <v>2645</v>
      </c>
      <c r="B114" s="4" t="s">
        <v>116</v>
      </c>
      <c r="C114" s="4" t="s">
        <v>508</v>
      </c>
      <c r="D114" s="9">
        <v>57542</v>
      </c>
      <c r="E114" s="9" t="str">
        <f t="shared" si="1"/>
        <v>16-07-2057</v>
      </c>
      <c r="F114" s="7">
        <v>43943</v>
      </c>
      <c r="G114" s="11"/>
    </row>
    <row r="115" spans="1:7">
      <c r="A115" s="4" t="s">
        <v>2646</v>
      </c>
      <c r="B115" s="4" t="s">
        <v>117</v>
      </c>
      <c r="C115" s="4" t="s">
        <v>504</v>
      </c>
      <c r="D115" s="9">
        <v>40755</v>
      </c>
      <c r="E115" s="9" t="str">
        <f t="shared" si="1"/>
        <v>31-07-2011</v>
      </c>
      <c r="F115" s="7">
        <v>43944</v>
      </c>
      <c r="G115" s="11"/>
    </row>
    <row r="116" spans="1:7">
      <c r="A116" s="4" t="s">
        <v>2647</v>
      </c>
      <c r="B116" s="4" t="s">
        <v>118</v>
      </c>
      <c r="C116" s="4" t="s">
        <v>504</v>
      </c>
      <c r="D116" s="9">
        <v>54585</v>
      </c>
      <c r="E116" s="9" t="str">
        <f t="shared" si="1"/>
        <v>11-06-2049</v>
      </c>
      <c r="F116" s="7">
        <v>43945</v>
      </c>
      <c r="G116" s="11"/>
    </row>
    <row r="117" spans="1:7">
      <c r="A117" s="4" t="s">
        <v>2648</v>
      </c>
      <c r="B117" s="4" t="s">
        <v>119</v>
      </c>
      <c r="C117" s="4" t="s">
        <v>508</v>
      </c>
      <c r="D117" s="9">
        <v>40312</v>
      </c>
      <c r="E117" s="9" t="str">
        <f t="shared" si="1"/>
        <v>14-05-2010</v>
      </c>
      <c r="F117" s="7">
        <v>43946</v>
      </c>
      <c r="G117" s="11"/>
    </row>
    <row r="118" spans="1:7">
      <c r="A118" s="4" t="s">
        <v>2649</v>
      </c>
      <c r="B118" s="4" t="s">
        <v>120</v>
      </c>
      <c r="C118" s="4" t="s">
        <v>506</v>
      </c>
      <c r="D118" s="9">
        <v>97147</v>
      </c>
      <c r="E118" s="9" t="str">
        <f t="shared" si="1"/>
        <v>22-12-2165</v>
      </c>
      <c r="F118" s="7">
        <v>43947</v>
      </c>
      <c r="G118" s="11"/>
    </row>
    <row r="119" spans="1:7">
      <c r="A119" s="4" t="s">
        <v>2650</v>
      </c>
      <c r="B119" s="4" t="s">
        <v>121</v>
      </c>
      <c r="C119" s="4" t="s">
        <v>508</v>
      </c>
      <c r="D119" s="9">
        <v>30899</v>
      </c>
      <c r="E119" s="9" t="str">
        <f t="shared" si="1"/>
        <v>05-08-1984</v>
      </c>
      <c r="F119" s="7">
        <v>43948</v>
      </c>
      <c r="G119" s="11"/>
    </row>
    <row r="120" spans="1:7">
      <c r="A120" s="4" t="s">
        <v>2651</v>
      </c>
      <c r="B120" s="4" t="s">
        <v>122</v>
      </c>
      <c r="C120" s="4" t="s">
        <v>507</v>
      </c>
      <c r="D120" s="9">
        <v>68412</v>
      </c>
      <c r="E120" s="9" t="str">
        <f t="shared" si="1"/>
        <v>20-04-2087</v>
      </c>
      <c r="F120" s="7">
        <v>43949</v>
      </c>
      <c r="G120" s="11"/>
    </row>
    <row r="121" spans="1:7">
      <c r="A121" s="4" t="s">
        <v>2652</v>
      </c>
      <c r="B121" s="4" t="s">
        <v>123</v>
      </c>
      <c r="C121" s="4" t="s">
        <v>507</v>
      </c>
      <c r="D121" s="9">
        <v>70378</v>
      </c>
      <c r="E121" s="9" t="str">
        <f t="shared" si="1"/>
        <v>06-09-2092</v>
      </c>
      <c r="F121" s="7">
        <v>43950</v>
      </c>
      <c r="G121" s="11"/>
    </row>
    <row r="122" spans="1:7">
      <c r="A122" s="4" t="s">
        <v>2653</v>
      </c>
      <c r="B122" s="4" t="s">
        <v>124</v>
      </c>
      <c r="C122" s="4" t="s">
        <v>508</v>
      </c>
      <c r="D122" s="9">
        <v>75713</v>
      </c>
      <c r="E122" s="9" t="str">
        <f t="shared" si="1"/>
        <v>17-04-2107</v>
      </c>
      <c r="F122" s="7">
        <v>43951</v>
      </c>
      <c r="G122" s="11"/>
    </row>
    <row r="123" spans="1:7">
      <c r="A123" s="4" t="s">
        <v>2654</v>
      </c>
      <c r="B123" s="4" t="s">
        <v>125</v>
      </c>
      <c r="C123" s="4" t="s">
        <v>507</v>
      </c>
      <c r="D123" s="9">
        <v>59280</v>
      </c>
      <c r="E123" s="9" t="str">
        <f t="shared" si="1"/>
        <v>19-04-2062</v>
      </c>
      <c r="F123" s="7">
        <v>43952</v>
      </c>
      <c r="G123" s="11"/>
    </row>
    <row r="124" spans="1:7">
      <c r="A124" s="4" t="s">
        <v>2655</v>
      </c>
      <c r="B124" s="4" t="s">
        <v>126</v>
      </c>
      <c r="C124" s="4" t="s">
        <v>506</v>
      </c>
      <c r="D124" s="9">
        <v>93951</v>
      </c>
      <c r="E124" s="9" t="str">
        <f t="shared" si="1"/>
        <v>23-03-2157</v>
      </c>
      <c r="F124" s="7">
        <v>43953</v>
      </c>
      <c r="G124" s="11"/>
    </row>
    <row r="125" spans="1:7">
      <c r="A125" s="4" t="s">
        <v>2656</v>
      </c>
      <c r="B125" s="4" t="s">
        <v>127</v>
      </c>
      <c r="C125" s="4" t="s">
        <v>504</v>
      </c>
      <c r="D125" s="9">
        <v>60459</v>
      </c>
      <c r="E125" s="9" t="str">
        <f t="shared" si="1"/>
        <v>11-07-2065</v>
      </c>
      <c r="F125" s="7">
        <v>43954</v>
      </c>
      <c r="G125" s="11"/>
    </row>
    <row r="126" spans="1:7">
      <c r="A126" s="4" t="s">
        <v>2657</v>
      </c>
      <c r="B126" s="4" t="s">
        <v>128</v>
      </c>
      <c r="C126" s="4" t="s">
        <v>508</v>
      </c>
      <c r="D126" s="9">
        <v>89347</v>
      </c>
      <c r="E126" s="9" t="str">
        <f t="shared" si="1"/>
        <v>14-08-2144</v>
      </c>
      <c r="F126" s="7">
        <v>43955</v>
      </c>
      <c r="G126" s="11"/>
    </row>
    <row r="127" spans="1:7">
      <c r="A127" s="4" t="s">
        <v>2658</v>
      </c>
      <c r="B127" s="4" t="s">
        <v>129</v>
      </c>
      <c r="C127" s="4" t="s">
        <v>507</v>
      </c>
      <c r="D127" s="9">
        <v>82581</v>
      </c>
      <c r="E127" s="9" t="str">
        <f t="shared" si="1"/>
        <v>04-02-2126</v>
      </c>
      <c r="F127" s="7">
        <v>43956</v>
      </c>
      <c r="G127" s="11"/>
    </row>
    <row r="128" spans="1:7">
      <c r="A128" s="4" t="s">
        <v>2659</v>
      </c>
      <c r="B128" s="4" t="s">
        <v>130</v>
      </c>
      <c r="C128" s="4" t="s">
        <v>504</v>
      </c>
      <c r="D128" s="9">
        <v>33751</v>
      </c>
      <c r="E128" s="9" t="str">
        <f t="shared" si="1"/>
        <v>27-05-1992</v>
      </c>
      <c r="F128" s="7">
        <v>43957</v>
      </c>
      <c r="G128" s="11"/>
    </row>
    <row r="129" spans="1:7">
      <c r="A129" s="4" t="s">
        <v>2660</v>
      </c>
      <c r="B129" s="4" t="s">
        <v>131</v>
      </c>
      <c r="C129" s="4" t="s">
        <v>505</v>
      </c>
      <c r="D129" s="9">
        <v>36488</v>
      </c>
      <c r="E129" s="9" t="str">
        <f t="shared" si="1"/>
        <v>24-11-1999</v>
      </c>
      <c r="F129" s="7">
        <v>43958</v>
      </c>
      <c r="G129" s="11"/>
    </row>
    <row r="130" spans="1:7">
      <c r="A130" s="4" t="s">
        <v>2661</v>
      </c>
      <c r="B130" s="4" t="s">
        <v>132</v>
      </c>
      <c r="C130" s="4" t="s">
        <v>508</v>
      </c>
      <c r="D130" s="9">
        <v>65255</v>
      </c>
      <c r="E130" s="9" t="str">
        <f t="shared" si="1"/>
        <v>28-08-2078</v>
      </c>
      <c r="F130" s="7">
        <v>43959</v>
      </c>
      <c r="G130" s="11"/>
    </row>
    <row r="131" spans="1:7">
      <c r="A131" s="4" t="s">
        <v>2662</v>
      </c>
      <c r="B131" s="4" t="s">
        <v>133</v>
      </c>
      <c r="C131" s="4" t="s">
        <v>505</v>
      </c>
      <c r="D131" s="9">
        <v>89281</v>
      </c>
      <c r="E131" s="9" t="str">
        <f t="shared" ref="E131:E194" si="2">TEXT(D131,"DD-MM-YYYY")</f>
        <v>09-06-2144</v>
      </c>
      <c r="F131" s="7">
        <v>43960</v>
      </c>
      <c r="G131" s="11"/>
    </row>
    <row r="132" spans="1:7">
      <c r="A132" s="4" t="s">
        <v>2663</v>
      </c>
      <c r="B132" s="4" t="s">
        <v>134</v>
      </c>
      <c r="C132" s="4" t="s">
        <v>507</v>
      </c>
      <c r="D132" s="9">
        <v>62444</v>
      </c>
      <c r="E132" s="9" t="str">
        <f t="shared" si="2"/>
        <v>17-12-2070</v>
      </c>
      <c r="F132" s="7">
        <v>43961</v>
      </c>
      <c r="G132" s="11"/>
    </row>
    <row r="133" spans="1:7">
      <c r="A133" s="4" t="s">
        <v>2664</v>
      </c>
      <c r="B133" s="4" t="s">
        <v>135</v>
      </c>
      <c r="C133" s="4" t="s">
        <v>508</v>
      </c>
      <c r="D133" s="9">
        <v>54798</v>
      </c>
      <c r="E133" s="9" t="str">
        <f t="shared" si="2"/>
        <v>10-01-2050</v>
      </c>
      <c r="F133" s="7">
        <v>43962</v>
      </c>
      <c r="G133" s="11"/>
    </row>
    <row r="134" spans="1:7">
      <c r="A134" s="4" t="s">
        <v>2665</v>
      </c>
      <c r="B134" s="4" t="s">
        <v>136</v>
      </c>
      <c r="C134" s="4" t="s">
        <v>508</v>
      </c>
      <c r="D134" s="9">
        <v>64389</v>
      </c>
      <c r="E134" s="9" t="str">
        <f t="shared" si="2"/>
        <v>14-04-2076</v>
      </c>
      <c r="F134" s="7">
        <v>43963</v>
      </c>
      <c r="G134" s="11"/>
    </row>
    <row r="135" spans="1:7">
      <c r="A135" s="4" t="s">
        <v>2666</v>
      </c>
      <c r="B135" s="4" t="s">
        <v>137</v>
      </c>
      <c r="C135" s="4" t="s">
        <v>504</v>
      </c>
      <c r="D135" s="9">
        <v>41130</v>
      </c>
      <c r="E135" s="9" t="str">
        <f t="shared" si="2"/>
        <v>09-08-2012</v>
      </c>
      <c r="F135" s="7">
        <v>43964</v>
      </c>
      <c r="G135" s="11"/>
    </row>
    <row r="136" spans="1:7">
      <c r="A136" s="4" t="s">
        <v>2667</v>
      </c>
      <c r="B136" s="4" t="s">
        <v>138</v>
      </c>
      <c r="C136" s="4" t="s">
        <v>508</v>
      </c>
      <c r="D136" s="9">
        <v>76314</v>
      </c>
      <c r="E136" s="9" t="str">
        <f t="shared" si="2"/>
        <v>08-12-2108</v>
      </c>
      <c r="F136" s="7">
        <v>43965</v>
      </c>
      <c r="G136" s="11"/>
    </row>
    <row r="137" spans="1:7">
      <c r="A137" s="4" t="s">
        <v>2668</v>
      </c>
      <c r="B137" s="4" t="s">
        <v>139</v>
      </c>
      <c r="C137" s="4" t="s">
        <v>508</v>
      </c>
      <c r="D137" s="9">
        <v>92961</v>
      </c>
      <c r="E137" s="9" t="str">
        <f t="shared" si="2"/>
        <v>07-07-2154</v>
      </c>
      <c r="F137" s="7">
        <v>43966</v>
      </c>
      <c r="G137" s="11"/>
    </row>
    <row r="138" spans="1:7">
      <c r="A138" s="4" t="s">
        <v>2669</v>
      </c>
      <c r="B138" s="4" t="s">
        <v>140</v>
      </c>
      <c r="C138" s="4" t="s">
        <v>506</v>
      </c>
      <c r="D138" s="9">
        <v>81927</v>
      </c>
      <c r="E138" s="9" t="str">
        <f t="shared" si="2"/>
        <v>21-04-2124</v>
      </c>
      <c r="F138" s="7">
        <v>43967</v>
      </c>
      <c r="G138" s="11"/>
    </row>
    <row r="139" spans="1:7">
      <c r="A139" s="4" t="s">
        <v>2670</v>
      </c>
      <c r="B139" s="4" t="s">
        <v>141</v>
      </c>
      <c r="C139" s="4" t="s">
        <v>506</v>
      </c>
      <c r="D139" s="9">
        <v>78227</v>
      </c>
      <c r="E139" s="9" t="str">
        <f t="shared" si="2"/>
        <v>05-03-2114</v>
      </c>
      <c r="F139" s="7">
        <v>43968</v>
      </c>
      <c r="G139" s="11"/>
    </row>
    <row r="140" spans="1:7">
      <c r="A140" s="4" t="s">
        <v>2671</v>
      </c>
      <c r="B140" s="4" t="s">
        <v>142</v>
      </c>
      <c r="C140" s="4" t="s">
        <v>505</v>
      </c>
      <c r="D140" s="9">
        <v>58677</v>
      </c>
      <c r="E140" s="9" t="str">
        <f t="shared" si="2"/>
        <v>24-08-2060</v>
      </c>
      <c r="F140" s="7">
        <v>43969</v>
      </c>
      <c r="G140" s="11"/>
    </row>
    <row r="141" spans="1:7">
      <c r="A141" s="4" t="s">
        <v>2672</v>
      </c>
      <c r="B141" s="4" t="s">
        <v>143</v>
      </c>
      <c r="C141" s="4" t="s">
        <v>505</v>
      </c>
      <c r="D141" s="9">
        <v>33307</v>
      </c>
      <c r="E141" s="9" t="str">
        <f t="shared" si="2"/>
        <v>10-03-1991</v>
      </c>
      <c r="F141" s="7">
        <v>43970</v>
      </c>
      <c r="G141" s="11"/>
    </row>
    <row r="142" spans="1:7">
      <c r="A142" s="4" t="s">
        <v>2673</v>
      </c>
      <c r="B142" s="4" t="s">
        <v>144</v>
      </c>
      <c r="C142" s="4" t="s">
        <v>506</v>
      </c>
      <c r="D142" s="9">
        <v>86530</v>
      </c>
      <c r="E142" s="9" t="str">
        <f t="shared" si="2"/>
        <v>27-11-2136</v>
      </c>
      <c r="F142" s="7">
        <v>43971</v>
      </c>
      <c r="G142" s="11"/>
    </row>
    <row r="143" spans="1:7">
      <c r="A143" s="4" t="s">
        <v>2674</v>
      </c>
      <c r="B143" s="4" t="s">
        <v>145</v>
      </c>
      <c r="C143" s="4" t="s">
        <v>506</v>
      </c>
      <c r="D143" s="9">
        <v>53893</v>
      </c>
      <c r="E143" s="9" t="str">
        <f t="shared" si="2"/>
        <v>20-07-2047</v>
      </c>
      <c r="F143" s="7">
        <v>43972</v>
      </c>
      <c r="G143" s="11"/>
    </row>
    <row r="144" spans="1:7">
      <c r="A144" s="4" t="s">
        <v>2675</v>
      </c>
      <c r="B144" s="4" t="s">
        <v>146</v>
      </c>
      <c r="C144" s="4" t="s">
        <v>508</v>
      </c>
      <c r="D144" s="9">
        <v>39378</v>
      </c>
      <c r="E144" s="9" t="str">
        <f t="shared" si="2"/>
        <v>23-10-2007</v>
      </c>
      <c r="F144" s="7">
        <v>43973</v>
      </c>
      <c r="G144" s="11"/>
    </row>
    <row r="145" spans="1:7">
      <c r="A145" s="4" t="s">
        <v>2676</v>
      </c>
      <c r="B145" s="4" t="s">
        <v>147</v>
      </c>
      <c r="C145" s="4" t="s">
        <v>504</v>
      </c>
      <c r="D145" s="9">
        <v>84402</v>
      </c>
      <c r="E145" s="9" t="str">
        <f t="shared" si="2"/>
        <v>30-01-2131</v>
      </c>
      <c r="F145" s="7">
        <v>43974</v>
      </c>
      <c r="G145" s="11"/>
    </row>
    <row r="146" spans="1:7">
      <c r="A146" s="4" t="s">
        <v>2677</v>
      </c>
      <c r="B146" s="4" t="s">
        <v>148</v>
      </c>
      <c r="C146" s="4" t="s">
        <v>507</v>
      </c>
      <c r="D146" s="9">
        <v>40895</v>
      </c>
      <c r="E146" s="9" t="str">
        <f t="shared" si="2"/>
        <v>18-12-2011</v>
      </c>
      <c r="F146" s="7">
        <v>43975</v>
      </c>
      <c r="G146" s="11"/>
    </row>
    <row r="147" spans="1:7">
      <c r="A147" s="4" t="s">
        <v>2678</v>
      </c>
      <c r="B147" s="4" t="s">
        <v>149</v>
      </c>
      <c r="C147" s="4" t="s">
        <v>508</v>
      </c>
      <c r="D147" s="9">
        <v>30479</v>
      </c>
      <c r="E147" s="9" t="str">
        <f t="shared" si="2"/>
        <v>12-06-1983</v>
      </c>
      <c r="F147" s="7">
        <v>43976</v>
      </c>
      <c r="G147" s="11"/>
    </row>
    <row r="148" spans="1:7">
      <c r="A148" s="4" t="s">
        <v>2679</v>
      </c>
      <c r="B148" s="4" t="s">
        <v>150</v>
      </c>
      <c r="C148" s="4" t="s">
        <v>506</v>
      </c>
      <c r="D148" s="9">
        <v>41508</v>
      </c>
      <c r="E148" s="9" t="str">
        <f t="shared" si="2"/>
        <v>22-08-2013</v>
      </c>
      <c r="F148" s="7">
        <v>43977</v>
      </c>
      <c r="G148" s="11"/>
    </row>
    <row r="149" spans="1:7">
      <c r="A149" s="4" t="s">
        <v>2680</v>
      </c>
      <c r="B149" s="4" t="s">
        <v>151</v>
      </c>
      <c r="C149" s="4" t="s">
        <v>506</v>
      </c>
      <c r="D149" s="9">
        <v>90433</v>
      </c>
      <c r="E149" s="9" t="str">
        <f t="shared" si="2"/>
        <v>05-08-2147</v>
      </c>
      <c r="F149" s="7">
        <v>43978</v>
      </c>
      <c r="G149" s="11"/>
    </row>
    <row r="150" spans="1:7">
      <c r="A150" s="4" t="s">
        <v>2681</v>
      </c>
      <c r="B150" s="4" t="s">
        <v>152</v>
      </c>
      <c r="C150" s="4" t="s">
        <v>504</v>
      </c>
      <c r="D150" s="9">
        <v>79230</v>
      </c>
      <c r="E150" s="9" t="str">
        <f t="shared" si="2"/>
        <v>02-12-2116</v>
      </c>
      <c r="F150" s="7">
        <v>43979</v>
      </c>
      <c r="G150" s="11"/>
    </row>
    <row r="151" spans="1:7">
      <c r="A151" s="4" t="s">
        <v>2682</v>
      </c>
      <c r="B151" s="4" t="s">
        <v>153</v>
      </c>
      <c r="C151" s="4" t="s">
        <v>508</v>
      </c>
      <c r="D151" s="9">
        <v>83173</v>
      </c>
      <c r="E151" s="9" t="str">
        <f t="shared" si="2"/>
        <v>19-09-2127</v>
      </c>
      <c r="F151" s="7">
        <v>43980</v>
      </c>
      <c r="G151" s="11"/>
    </row>
    <row r="152" spans="1:7">
      <c r="A152" s="4" t="s">
        <v>2683</v>
      </c>
      <c r="B152" s="4" t="s">
        <v>154</v>
      </c>
      <c r="C152" s="4" t="s">
        <v>505</v>
      </c>
      <c r="D152" s="9">
        <v>81963</v>
      </c>
      <c r="E152" s="9" t="str">
        <f t="shared" si="2"/>
        <v>27-05-2124</v>
      </c>
      <c r="F152" s="7">
        <v>43981</v>
      </c>
      <c r="G152" s="11"/>
    </row>
    <row r="153" spans="1:7">
      <c r="A153" s="4" t="s">
        <v>2684</v>
      </c>
      <c r="B153" s="4" t="s">
        <v>155</v>
      </c>
      <c r="C153" s="4" t="s">
        <v>506</v>
      </c>
      <c r="D153" s="9">
        <v>95475</v>
      </c>
      <c r="E153" s="9" t="str">
        <f t="shared" si="2"/>
        <v>25-05-2161</v>
      </c>
      <c r="F153" s="7">
        <v>43982</v>
      </c>
      <c r="G153" s="11"/>
    </row>
    <row r="154" spans="1:7">
      <c r="A154" s="4" t="s">
        <v>2685</v>
      </c>
      <c r="B154" s="4" t="s">
        <v>156</v>
      </c>
      <c r="C154" s="4" t="s">
        <v>506</v>
      </c>
      <c r="D154" s="9">
        <v>83639</v>
      </c>
      <c r="E154" s="9" t="str">
        <f t="shared" si="2"/>
        <v>28-12-2128</v>
      </c>
      <c r="F154" s="7">
        <v>43983</v>
      </c>
      <c r="G154" s="11"/>
    </row>
    <row r="155" spans="1:7">
      <c r="A155" s="4" t="s">
        <v>2686</v>
      </c>
      <c r="B155" s="4" t="s">
        <v>157</v>
      </c>
      <c r="C155" s="4" t="s">
        <v>507</v>
      </c>
      <c r="D155" s="9">
        <v>74150</v>
      </c>
      <c r="E155" s="9" t="str">
        <f t="shared" si="2"/>
        <v>05-01-2103</v>
      </c>
      <c r="F155" s="7">
        <v>43984</v>
      </c>
      <c r="G155" s="11"/>
    </row>
    <row r="156" spans="1:7">
      <c r="A156" s="4" t="s">
        <v>2687</v>
      </c>
      <c r="B156" s="4" t="s">
        <v>158</v>
      </c>
      <c r="C156" s="4" t="s">
        <v>504</v>
      </c>
      <c r="D156" s="9">
        <v>75670</v>
      </c>
      <c r="E156" s="9" t="str">
        <f t="shared" si="2"/>
        <v>05-03-2107</v>
      </c>
      <c r="F156" s="7">
        <v>43985</v>
      </c>
      <c r="G156" s="11"/>
    </row>
    <row r="157" spans="1:7">
      <c r="A157" s="4" t="s">
        <v>2688</v>
      </c>
      <c r="B157" s="4" t="s">
        <v>159</v>
      </c>
      <c r="C157" s="4" t="s">
        <v>505</v>
      </c>
      <c r="D157" s="9">
        <v>51417</v>
      </c>
      <c r="E157" s="9" t="str">
        <f t="shared" si="2"/>
        <v>08-10-2040</v>
      </c>
      <c r="F157" s="7">
        <v>43986</v>
      </c>
      <c r="G157" s="11"/>
    </row>
    <row r="158" spans="1:7">
      <c r="A158" s="4" t="s">
        <v>2689</v>
      </c>
      <c r="B158" s="4" t="s">
        <v>160</v>
      </c>
      <c r="C158" s="4" t="s">
        <v>508</v>
      </c>
      <c r="D158" s="9">
        <v>83925</v>
      </c>
      <c r="E158" s="9" t="str">
        <f t="shared" si="2"/>
        <v>10-10-2129</v>
      </c>
      <c r="F158" s="7">
        <v>43987</v>
      </c>
      <c r="G158" s="11"/>
    </row>
    <row r="159" spans="1:7">
      <c r="A159" s="4" t="s">
        <v>2690</v>
      </c>
      <c r="B159" s="4" t="s">
        <v>161</v>
      </c>
      <c r="C159" s="4" t="s">
        <v>508</v>
      </c>
      <c r="D159" s="9">
        <v>54908</v>
      </c>
      <c r="E159" s="9" t="str">
        <f t="shared" si="2"/>
        <v>30-04-2050</v>
      </c>
      <c r="F159" s="7">
        <v>43988</v>
      </c>
      <c r="G159" s="11"/>
    </row>
    <row r="160" spans="1:7">
      <c r="A160" s="4" t="s">
        <v>2691</v>
      </c>
      <c r="B160" s="4" t="s">
        <v>162</v>
      </c>
      <c r="C160" s="4" t="s">
        <v>505</v>
      </c>
      <c r="D160" s="9">
        <v>89617</v>
      </c>
      <c r="E160" s="9" t="str">
        <f t="shared" si="2"/>
        <v>11-05-2145</v>
      </c>
      <c r="F160" s="7">
        <v>43989</v>
      </c>
      <c r="G160" s="11"/>
    </row>
    <row r="161" spans="1:7">
      <c r="A161" s="4" t="s">
        <v>2692</v>
      </c>
      <c r="B161" s="4" t="s">
        <v>163</v>
      </c>
      <c r="C161" s="4" t="s">
        <v>506</v>
      </c>
      <c r="D161" s="9">
        <v>70446</v>
      </c>
      <c r="E161" s="9" t="str">
        <f t="shared" si="2"/>
        <v>13-11-2092</v>
      </c>
      <c r="F161" s="7">
        <v>43990</v>
      </c>
      <c r="G161" s="11"/>
    </row>
    <row r="162" spans="1:7">
      <c r="A162" s="4" t="s">
        <v>2693</v>
      </c>
      <c r="B162" s="4" t="s">
        <v>164</v>
      </c>
      <c r="C162" s="4" t="s">
        <v>508</v>
      </c>
      <c r="D162" s="9">
        <v>66031</v>
      </c>
      <c r="E162" s="9" t="str">
        <f t="shared" si="2"/>
        <v>12-10-2080</v>
      </c>
      <c r="F162" s="7">
        <v>43991</v>
      </c>
      <c r="G162" s="11"/>
    </row>
    <row r="163" spans="1:7">
      <c r="A163" s="4" t="s">
        <v>2694</v>
      </c>
      <c r="B163" s="4" t="s">
        <v>165</v>
      </c>
      <c r="C163" s="4" t="s">
        <v>504</v>
      </c>
      <c r="D163" s="9">
        <v>91440</v>
      </c>
      <c r="E163" s="9" t="str">
        <f t="shared" si="2"/>
        <v>08-05-2150</v>
      </c>
      <c r="F163" s="7">
        <v>43992</v>
      </c>
      <c r="G163" s="11"/>
    </row>
    <row r="164" spans="1:7">
      <c r="A164" s="4" t="s">
        <v>2695</v>
      </c>
      <c r="B164" s="4" t="s">
        <v>166</v>
      </c>
      <c r="C164" s="4" t="s">
        <v>504</v>
      </c>
      <c r="D164" s="9">
        <v>32754</v>
      </c>
      <c r="E164" s="9" t="str">
        <f t="shared" si="2"/>
        <v>03-09-1989</v>
      </c>
      <c r="F164" s="7">
        <v>43993</v>
      </c>
      <c r="G164" s="11"/>
    </row>
    <row r="165" spans="1:7">
      <c r="A165" s="4" t="s">
        <v>2696</v>
      </c>
      <c r="B165" s="4" t="s">
        <v>167</v>
      </c>
      <c r="C165" s="4" t="s">
        <v>506</v>
      </c>
      <c r="D165" s="9">
        <v>45611</v>
      </c>
      <c r="E165" s="9" t="str">
        <f t="shared" si="2"/>
        <v>15-11-2024</v>
      </c>
      <c r="F165" s="7">
        <v>43994</v>
      </c>
      <c r="G165" s="11"/>
    </row>
    <row r="166" spans="1:7">
      <c r="A166" s="4" t="s">
        <v>2697</v>
      </c>
      <c r="B166" s="4" t="s">
        <v>168</v>
      </c>
      <c r="C166" s="4" t="s">
        <v>505</v>
      </c>
      <c r="D166" s="9">
        <v>96242</v>
      </c>
      <c r="E166" s="9" t="str">
        <f t="shared" si="2"/>
        <v>01-07-2163</v>
      </c>
      <c r="F166" s="7">
        <v>43995</v>
      </c>
      <c r="G166" s="11"/>
    </row>
    <row r="167" spans="1:7">
      <c r="A167" s="4" t="s">
        <v>2698</v>
      </c>
      <c r="B167" s="4" t="s">
        <v>169</v>
      </c>
      <c r="C167" s="4" t="s">
        <v>506</v>
      </c>
      <c r="D167" s="9">
        <v>92741</v>
      </c>
      <c r="E167" s="9" t="str">
        <f t="shared" si="2"/>
        <v>29-11-2153</v>
      </c>
      <c r="F167" s="7">
        <v>43996</v>
      </c>
      <c r="G167" s="11"/>
    </row>
    <row r="168" spans="1:7">
      <c r="A168" s="4" t="s">
        <v>2699</v>
      </c>
      <c r="B168" s="4" t="s">
        <v>170</v>
      </c>
      <c r="C168" s="4" t="s">
        <v>508</v>
      </c>
      <c r="D168" s="9">
        <v>72522</v>
      </c>
      <c r="E168" s="9" t="str">
        <f t="shared" si="2"/>
        <v>21-07-2098</v>
      </c>
      <c r="F168" s="7">
        <v>43997</v>
      </c>
      <c r="G168" s="11"/>
    </row>
    <row r="169" spans="1:7">
      <c r="A169" s="4" t="s">
        <v>2700</v>
      </c>
      <c r="B169" s="4" t="s">
        <v>171</v>
      </c>
      <c r="C169" s="4" t="s">
        <v>505</v>
      </c>
      <c r="D169" s="9">
        <v>62078</v>
      </c>
      <c r="E169" s="9" t="str">
        <f t="shared" si="2"/>
        <v>16-12-2069</v>
      </c>
      <c r="F169" s="7">
        <v>43998</v>
      </c>
      <c r="G169" s="11"/>
    </row>
    <row r="170" spans="1:7">
      <c r="A170" s="4" t="s">
        <v>2701</v>
      </c>
      <c r="B170" s="4" t="s">
        <v>172</v>
      </c>
      <c r="C170" s="4" t="s">
        <v>506</v>
      </c>
      <c r="D170" s="9">
        <v>92616</v>
      </c>
      <c r="E170" s="9" t="str">
        <f t="shared" si="2"/>
        <v>27-07-2153</v>
      </c>
      <c r="F170" s="7">
        <v>43999</v>
      </c>
      <c r="G170" s="11"/>
    </row>
    <row r="171" spans="1:7">
      <c r="A171" s="4" t="s">
        <v>2702</v>
      </c>
      <c r="B171" s="4" t="s">
        <v>173</v>
      </c>
      <c r="C171" s="4" t="s">
        <v>508</v>
      </c>
      <c r="D171" s="9">
        <v>43383</v>
      </c>
      <c r="E171" s="9" t="str">
        <f t="shared" si="2"/>
        <v>10-10-2018</v>
      </c>
      <c r="F171" s="7">
        <v>44000</v>
      </c>
      <c r="G171" s="11"/>
    </row>
    <row r="172" spans="1:7">
      <c r="A172" s="4" t="s">
        <v>2703</v>
      </c>
      <c r="B172" s="4" t="s">
        <v>174</v>
      </c>
      <c r="C172" s="4" t="s">
        <v>508</v>
      </c>
      <c r="D172" s="9">
        <v>39121</v>
      </c>
      <c r="E172" s="9" t="str">
        <f t="shared" si="2"/>
        <v>08-02-2007</v>
      </c>
      <c r="F172" s="7">
        <v>44001</v>
      </c>
      <c r="G172" s="11"/>
    </row>
    <row r="173" spans="1:7">
      <c r="A173" s="4" t="s">
        <v>2704</v>
      </c>
      <c r="B173" s="4" t="s">
        <v>175</v>
      </c>
      <c r="C173" s="4" t="s">
        <v>504</v>
      </c>
      <c r="D173" s="9">
        <v>70153</v>
      </c>
      <c r="E173" s="9" t="str">
        <f t="shared" si="2"/>
        <v>25-01-2092</v>
      </c>
      <c r="F173" s="7">
        <v>44002</v>
      </c>
      <c r="G173" s="11"/>
    </row>
    <row r="174" spans="1:7">
      <c r="A174" s="4" t="s">
        <v>2705</v>
      </c>
      <c r="B174" s="4" t="s">
        <v>176</v>
      </c>
      <c r="C174" s="4" t="s">
        <v>504</v>
      </c>
      <c r="D174" s="9">
        <v>76545</v>
      </c>
      <c r="E174" s="9" t="str">
        <f t="shared" si="2"/>
        <v>27-07-2109</v>
      </c>
      <c r="F174" s="7">
        <v>44003</v>
      </c>
      <c r="G174" s="11"/>
    </row>
    <row r="175" spans="1:7">
      <c r="A175" s="4" t="s">
        <v>2706</v>
      </c>
      <c r="B175" s="4" t="s">
        <v>177</v>
      </c>
      <c r="C175" s="4" t="s">
        <v>508</v>
      </c>
      <c r="D175" s="9">
        <v>56903</v>
      </c>
      <c r="E175" s="9" t="str">
        <f t="shared" si="2"/>
        <v>16-10-2055</v>
      </c>
      <c r="F175" s="7">
        <v>44004</v>
      </c>
      <c r="G175" s="11"/>
    </row>
    <row r="176" spans="1:7">
      <c r="A176" s="4" t="s">
        <v>2707</v>
      </c>
      <c r="B176" s="4" t="s">
        <v>178</v>
      </c>
      <c r="C176" s="4" t="s">
        <v>505</v>
      </c>
      <c r="D176" s="9">
        <v>85358</v>
      </c>
      <c r="E176" s="9" t="str">
        <f t="shared" si="2"/>
        <v>12-09-2133</v>
      </c>
      <c r="F176" s="7">
        <v>44005</v>
      </c>
      <c r="G176" s="11"/>
    </row>
    <row r="177" spans="1:7">
      <c r="A177" s="4" t="s">
        <v>2708</v>
      </c>
      <c r="B177" s="4" t="s">
        <v>179</v>
      </c>
      <c r="C177" s="4" t="s">
        <v>507</v>
      </c>
      <c r="D177" s="9">
        <v>93831</v>
      </c>
      <c r="E177" s="9" t="str">
        <f t="shared" si="2"/>
        <v>23-11-2156</v>
      </c>
      <c r="F177" s="7">
        <v>44006</v>
      </c>
      <c r="G177" s="11"/>
    </row>
    <row r="178" spans="1:7">
      <c r="A178" s="4" t="s">
        <v>2709</v>
      </c>
      <c r="B178" s="4" t="s">
        <v>180</v>
      </c>
      <c r="C178" s="4" t="s">
        <v>508</v>
      </c>
      <c r="D178" s="9">
        <v>81047</v>
      </c>
      <c r="E178" s="9" t="str">
        <f t="shared" si="2"/>
        <v>23-11-2121</v>
      </c>
      <c r="F178" s="7">
        <v>44007</v>
      </c>
      <c r="G178" s="11"/>
    </row>
    <row r="179" spans="1:7">
      <c r="A179" s="4" t="s">
        <v>2710</v>
      </c>
      <c r="B179" s="4" t="s">
        <v>181</v>
      </c>
      <c r="C179" s="4" t="s">
        <v>504</v>
      </c>
      <c r="D179" s="9">
        <v>48862</v>
      </c>
      <c r="E179" s="9" t="str">
        <f t="shared" si="2"/>
        <v>10-10-2033</v>
      </c>
      <c r="F179" s="7">
        <v>44008</v>
      </c>
      <c r="G179" s="11"/>
    </row>
    <row r="180" spans="1:7">
      <c r="A180" s="4" t="s">
        <v>2711</v>
      </c>
      <c r="B180" s="4" t="s">
        <v>182</v>
      </c>
      <c r="C180" s="4" t="s">
        <v>507</v>
      </c>
      <c r="D180" s="9">
        <v>98927</v>
      </c>
      <c r="E180" s="9" t="str">
        <f t="shared" si="2"/>
        <v>06-11-2170</v>
      </c>
      <c r="F180" s="7">
        <v>44009</v>
      </c>
      <c r="G180" s="11"/>
    </row>
    <row r="181" spans="1:7">
      <c r="A181" s="4" t="s">
        <v>2712</v>
      </c>
      <c r="B181" s="4" t="s">
        <v>183</v>
      </c>
      <c r="C181" s="4" t="s">
        <v>508</v>
      </c>
      <c r="D181" s="9">
        <v>68059</v>
      </c>
      <c r="E181" s="9" t="str">
        <f t="shared" si="2"/>
        <v>02-05-2086</v>
      </c>
      <c r="F181" s="7">
        <v>44010</v>
      </c>
      <c r="G181" s="11"/>
    </row>
    <row r="182" spans="1:7">
      <c r="A182" s="4" t="s">
        <v>2713</v>
      </c>
      <c r="B182" s="4" t="s">
        <v>184</v>
      </c>
      <c r="C182" s="4" t="s">
        <v>508</v>
      </c>
      <c r="D182" s="9">
        <v>79939</v>
      </c>
      <c r="E182" s="9" t="str">
        <f t="shared" si="2"/>
        <v>11-11-2118</v>
      </c>
      <c r="F182" s="7">
        <v>44011</v>
      </c>
      <c r="G182" s="11"/>
    </row>
    <row r="183" spans="1:7">
      <c r="A183" s="4" t="s">
        <v>2714</v>
      </c>
      <c r="B183" s="4" t="s">
        <v>185</v>
      </c>
      <c r="C183" s="4" t="s">
        <v>504</v>
      </c>
      <c r="D183" s="9">
        <v>47313</v>
      </c>
      <c r="E183" s="9" t="str">
        <f t="shared" si="2"/>
        <v>14-07-2029</v>
      </c>
      <c r="F183" s="7">
        <v>44012</v>
      </c>
      <c r="G183" s="11"/>
    </row>
    <row r="184" spans="1:7">
      <c r="A184" s="4" t="s">
        <v>2715</v>
      </c>
      <c r="B184" s="4" t="s">
        <v>186</v>
      </c>
      <c r="C184" s="4" t="s">
        <v>506</v>
      </c>
      <c r="D184" s="9">
        <v>97664</v>
      </c>
      <c r="E184" s="9" t="str">
        <f t="shared" si="2"/>
        <v>23-05-2167</v>
      </c>
      <c r="F184" s="7">
        <v>44013</v>
      </c>
      <c r="G184" s="11"/>
    </row>
    <row r="185" spans="1:7">
      <c r="A185" s="4" t="s">
        <v>2716</v>
      </c>
      <c r="B185" s="4" t="s">
        <v>187</v>
      </c>
      <c r="C185" s="4" t="s">
        <v>508</v>
      </c>
      <c r="D185" s="9">
        <v>91049</v>
      </c>
      <c r="E185" s="9" t="str">
        <f t="shared" si="2"/>
        <v>12-04-2149</v>
      </c>
      <c r="F185" s="7">
        <v>44014</v>
      </c>
      <c r="G185" s="11"/>
    </row>
    <row r="186" spans="1:7">
      <c r="A186" s="4" t="s">
        <v>2717</v>
      </c>
      <c r="B186" s="4" t="s">
        <v>188</v>
      </c>
      <c r="C186" s="4" t="s">
        <v>508</v>
      </c>
      <c r="D186" s="9">
        <v>30061</v>
      </c>
      <c r="E186" s="9" t="str">
        <f t="shared" si="2"/>
        <v>20-04-1982</v>
      </c>
      <c r="F186" s="7">
        <v>44015</v>
      </c>
      <c r="G186" s="11"/>
    </row>
    <row r="187" spans="1:7">
      <c r="A187" s="4" t="s">
        <v>2718</v>
      </c>
      <c r="B187" s="4" t="s">
        <v>189</v>
      </c>
      <c r="C187" s="4" t="s">
        <v>507</v>
      </c>
      <c r="D187" s="9">
        <v>59420</v>
      </c>
      <c r="E187" s="9" t="str">
        <f t="shared" si="2"/>
        <v>06-09-2062</v>
      </c>
      <c r="F187" s="7">
        <v>44016</v>
      </c>
      <c r="G187" s="11"/>
    </row>
    <row r="188" spans="1:7">
      <c r="A188" s="4" t="s">
        <v>2719</v>
      </c>
      <c r="B188" s="4" t="s">
        <v>190</v>
      </c>
      <c r="C188" s="4" t="s">
        <v>508</v>
      </c>
      <c r="D188" s="9">
        <v>74612</v>
      </c>
      <c r="E188" s="9" t="str">
        <f t="shared" si="2"/>
        <v>11-04-2104</v>
      </c>
      <c r="F188" s="7">
        <v>44017</v>
      </c>
      <c r="G188" s="11"/>
    </row>
    <row r="189" spans="1:7">
      <c r="A189" s="4" t="s">
        <v>2720</v>
      </c>
      <c r="B189" s="4" t="s">
        <v>191</v>
      </c>
      <c r="C189" s="4" t="s">
        <v>506</v>
      </c>
      <c r="D189" s="9">
        <v>86408</v>
      </c>
      <c r="E189" s="9" t="str">
        <f t="shared" si="2"/>
        <v>28-07-2136</v>
      </c>
      <c r="F189" s="7">
        <v>44018</v>
      </c>
      <c r="G189" s="11"/>
    </row>
    <row r="190" spans="1:7">
      <c r="A190" s="4" t="s">
        <v>2721</v>
      </c>
      <c r="B190" s="4" t="s">
        <v>192</v>
      </c>
      <c r="C190" s="4" t="s">
        <v>507</v>
      </c>
      <c r="D190" s="9">
        <v>54198</v>
      </c>
      <c r="E190" s="9" t="str">
        <f t="shared" si="2"/>
        <v>20-05-2048</v>
      </c>
      <c r="F190" s="7">
        <v>44019</v>
      </c>
      <c r="G190" s="11"/>
    </row>
    <row r="191" spans="1:7">
      <c r="A191" s="4" t="s">
        <v>2722</v>
      </c>
      <c r="B191" s="4" t="s">
        <v>193</v>
      </c>
      <c r="C191" s="4" t="s">
        <v>504</v>
      </c>
      <c r="D191" s="9">
        <v>41661</v>
      </c>
      <c r="E191" s="9" t="str">
        <f t="shared" si="2"/>
        <v>22-01-2014</v>
      </c>
      <c r="F191" s="7">
        <v>44020</v>
      </c>
      <c r="G191" s="11"/>
    </row>
    <row r="192" spans="1:7">
      <c r="A192" s="4" t="s">
        <v>2723</v>
      </c>
      <c r="B192" s="4" t="s">
        <v>194</v>
      </c>
      <c r="C192" s="4" t="s">
        <v>506</v>
      </c>
      <c r="D192" s="9">
        <v>57879</v>
      </c>
      <c r="E192" s="9" t="str">
        <f t="shared" si="2"/>
        <v>18-06-2058</v>
      </c>
      <c r="F192" s="7">
        <v>44021</v>
      </c>
      <c r="G192" s="11"/>
    </row>
    <row r="193" spans="1:7">
      <c r="A193" s="4" t="s">
        <v>2724</v>
      </c>
      <c r="B193" s="4" t="s">
        <v>195</v>
      </c>
      <c r="C193" s="4" t="s">
        <v>507</v>
      </c>
      <c r="D193" s="9">
        <v>81417</v>
      </c>
      <c r="E193" s="9" t="str">
        <f t="shared" si="2"/>
        <v>28-11-2122</v>
      </c>
      <c r="F193" s="7">
        <v>44022</v>
      </c>
      <c r="G193" s="11"/>
    </row>
    <row r="194" spans="1:7">
      <c r="A194" s="4" t="s">
        <v>2725</v>
      </c>
      <c r="B194" s="4" t="s">
        <v>196</v>
      </c>
      <c r="C194" s="4" t="s">
        <v>507</v>
      </c>
      <c r="D194" s="9">
        <v>87702</v>
      </c>
      <c r="E194" s="9" t="str">
        <f t="shared" si="2"/>
        <v>12-02-2140</v>
      </c>
      <c r="F194" s="7">
        <v>44023</v>
      </c>
      <c r="G194" s="11"/>
    </row>
    <row r="195" spans="1:7">
      <c r="A195" s="4" t="s">
        <v>2726</v>
      </c>
      <c r="B195" s="4" t="s">
        <v>197</v>
      </c>
      <c r="C195" s="4" t="s">
        <v>507</v>
      </c>
      <c r="D195" s="9">
        <v>56427</v>
      </c>
      <c r="E195" s="9" t="str">
        <f t="shared" ref="E195:E258" si="3">TEXT(D195,"DD-MM-YYYY")</f>
        <v>27-06-2054</v>
      </c>
      <c r="F195" s="7">
        <v>44024</v>
      </c>
      <c r="G195" s="11"/>
    </row>
    <row r="196" spans="1:7">
      <c r="A196" s="4" t="s">
        <v>2727</v>
      </c>
      <c r="B196" s="4" t="s">
        <v>198</v>
      </c>
      <c r="C196" s="4" t="s">
        <v>504</v>
      </c>
      <c r="D196" s="9">
        <v>30915</v>
      </c>
      <c r="E196" s="9" t="str">
        <f t="shared" si="3"/>
        <v>21-08-1984</v>
      </c>
      <c r="F196" s="7">
        <v>44025</v>
      </c>
      <c r="G196" s="11"/>
    </row>
    <row r="197" spans="1:7">
      <c r="A197" s="4" t="s">
        <v>2728</v>
      </c>
      <c r="B197" s="4" t="s">
        <v>199</v>
      </c>
      <c r="C197" s="4" t="s">
        <v>504</v>
      </c>
      <c r="D197" s="9">
        <v>61665</v>
      </c>
      <c r="E197" s="9" t="str">
        <f t="shared" si="3"/>
        <v>29-10-2068</v>
      </c>
      <c r="F197" s="7">
        <v>44026</v>
      </c>
      <c r="G197" s="11"/>
    </row>
    <row r="198" spans="1:7">
      <c r="A198" s="4" t="s">
        <v>2729</v>
      </c>
      <c r="B198" s="4" t="s">
        <v>200</v>
      </c>
      <c r="C198" s="4" t="s">
        <v>507</v>
      </c>
      <c r="D198" s="9">
        <v>52389</v>
      </c>
      <c r="E198" s="9" t="str">
        <f t="shared" si="3"/>
        <v>07-06-2043</v>
      </c>
      <c r="F198" s="7">
        <v>44027</v>
      </c>
      <c r="G198" s="11"/>
    </row>
    <row r="199" spans="1:7">
      <c r="A199" s="4" t="s">
        <v>2730</v>
      </c>
      <c r="B199" s="4" t="s">
        <v>201</v>
      </c>
      <c r="C199" s="4" t="s">
        <v>507</v>
      </c>
      <c r="D199" s="9">
        <v>31822</v>
      </c>
      <c r="E199" s="9" t="str">
        <f t="shared" si="3"/>
        <v>14-02-1987</v>
      </c>
      <c r="F199" s="7">
        <v>44028</v>
      </c>
      <c r="G199" s="11"/>
    </row>
    <row r="200" spans="1:7">
      <c r="A200" s="4" t="s">
        <v>2731</v>
      </c>
      <c r="B200" s="4" t="s">
        <v>202</v>
      </c>
      <c r="C200" s="4" t="s">
        <v>505</v>
      </c>
      <c r="D200" s="9">
        <v>37131</v>
      </c>
      <c r="E200" s="9" t="str">
        <f t="shared" si="3"/>
        <v>28-08-2001</v>
      </c>
      <c r="F200" s="7">
        <v>44029</v>
      </c>
      <c r="G200" s="11"/>
    </row>
    <row r="201" spans="1:7">
      <c r="A201" s="4" t="s">
        <v>2732</v>
      </c>
      <c r="B201" s="4" t="s">
        <v>203</v>
      </c>
      <c r="C201" s="4" t="s">
        <v>505</v>
      </c>
      <c r="D201" s="9">
        <v>34738</v>
      </c>
      <c r="E201" s="9" t="str">
        <f t="shared" si="3"/>
        <v>08-02-1995</v>
      </c>
      <c r="F201" s="7">
        <v>44030</v>
      </c>
      <c r="G201" s="11"/>
    </row>
    <row r="202" spans="1:7">
      <c r="A202" s="4" t="s">
        <v>2733</v>
      </c>
      <c r="B202" s="4" t="s">
        <v>204</v>
      </c>
      <c r="C202" s="4" t="s">
        <v>507</v>
      </c>
      <c r="D202" s="9">
        <v>56268</v>
      </c>
      <c r="E202" s="9" t="str">
        <f t="shared" si="3"/>
        <v>19-01-2054</v>
      </c>
      <c r="F202" s="7">
        <v>44031</v>
      </c>
      <c r="G202" s="11"/>
    </row>
    <row r="203" spans="1:7">
      <c r="A203" s="4" t="s">
        <v>2734</v>
      </c>
      <c r="B203" s="4" t="s">
        <v>205</v>
      </c>
      <c r="C203" s="4" t="s">
        <v>506</v>
      </c>
      <c r="D203" s="9">
        <v>59862</v>
      </c>
      <c r="E203" s="9" t="str">
        <f t="shared" si="3"/>
        <v>22-11-2063</v>
      </c>
      <c r="F203" s="7">
        <v>44032</v>
      </c>
      <c r="G203" s="11"/>
    </row>
    <row r="204" spans="1:7">
      <c r="A204" s="4" t="s">
        <v>2735</v>
      </c>
      <c r="B204" s="4" t="s">
        <v>206</v>
      </c>
      <c r="C204" s="4" t="s">
        <v>507</v>
      </c>
      <c r="D204" s="9">
        <v>59155</v>
      </c>
      <c r="E204" s="9" t="str">
        <f t="shared" si="3"/>
        <v>15-12-2061</v>
      </c>
      <c r="F204" s="7">
        <v>44033</v>
      </c>
      <c r="G204" s="11"/>
    </row>
    <row r="205" spans="1:7">
      <c r="A205" s="4" t="s">
        <v>2736</v>
      </c>
      <c r="B205" s="4" t="s">
        <v>207</v>
      </c>
      <c r="C205" s="4" t="s">
        <v>507</v>
      </c>
      <c r="D205" s="9">
        <v>40231</v>
      </c>
      <c r="E205" s="9" t="str">
        <f t="shared" si="3"/>
        <v>22-02-2010</v>
      </c>
      <c r="F205" s="7">
        <v>44034</v>
      </c>
      <c r="G205" s="11"/>
    </row>
    <row r="206" spans="1:7">
      <c r="A206" s="4" t="s">
        <v>2737</v>
      </c>
      <c r="B206" s="4" t="s">
        <v>208</v>
      </c>
      <c r="C206" s="4" t="s">
        <v>505</v>
      </c>
      <c r="D206" s="9">
        <v>41413</v>
      </c>
      <c r="E206" s="9" t="str">
        <f t="shared" si="3"/>
        <v>19-05-2013</v>
      </c>
      <c r="F206" s="7">
        <v>44035</v>
      </c>
      <c r="G206" s="11"/>
    </row>
    <row r="207" spans="1:7">
      <c r="A207" s="4" t="s">
        <v>2738</v>
      </c>
      <c r="B207" s="4" t="s">
        <v>209</v>
      </c>
      <c r="C207" s="4" t="s">
        <v>506</v>
      </c>
      <c r="D207" s="9">
        <v>98712</v>
      </c>
      <c r="E207" s="9" t="str">
        <f t="shared" si="3"/>
        <v>05-04-2170</v>
      </c>
      <c r="F207" s="7">
        <v>44036</v>
      </c>
      <c r="G207" s="11"/>
    </row>
    <row r="208" spans="1:7">
      <c r="A208" s="4" t="s">
        <v>2739</v>
      </c>
      <c r="B208" s="4" t="s">
        <v>210</v>
      </c>
      <c r="C208" s="4" t="s">
        <v>505</v>
      </c>
      <c r="D208" s="9">
        <v>41145</v>
      </c>
      <c r="E208" s="9" t="str">
        <f t="shared" si="3"/>
        <v>24-08-2012</v>
      </c>
      <c r="F208" s="7">
        <v>44037</v>
      </c>
      <c r="G208" s="11"/>
    </row>
    <row r="209" spans="1:7">
      <c r="A209" s="4" t="s">
        <v>2740</v>
      </c>
      <c r="B209" s="4" t="s">
        <v>211</v>
      </c>
      <c r="C209" s="4" t="s">
        <v>504</v>
      </c>
      <c r="D209" s="9">
        <v>52219</v>
      </c>
      <c r="E209" s="9" t="str">
        <f t="shared" si="3"/>
        <v>19-12-2042</v>
      </c>
      <c r="F209" s="7">
        <v>44038</v>
      </c>
      <c r="G209" s="11"/>
    </row>
    <row r="210" spans="1:7">
      <c r="A210" s="4" t="s">
        <v>2741</v>
      </c>
      <c r="B210" s="4" t="s">
        <v>212</v>
      </c>
      <c r="C210" s="4" t="s">
        <v>507</v>
      </c>
      <c r="D210" s="9">
        <v>57143</v>
      </c>
      <c r="E210" s="9" t="str">
        <f t="shared" si="3"/>
        <v>12-06-2056</v>
      </c>
      <c r="F210" s="7">
        <v>44039</v>
      </c>
      <c r="G210" s="11"/>
    </row>
    <row r="211" spans="1:7">
      <c r="A211" s="4" t="s">
        <v>2742</v>
      </c>
      <c r="B211" s="4" t="s">
        <v>213</v>
      </c>
      <c r="C211" s="4" t="s">
        <v>504</v>
      </c>
      <c r="D211" s="9">
        <v>74451</v>
      </c>
      <c r="E211" s="9" t="str">
        <f t="shared" si="3"/>
        <v>02-11-2103</v>
      </c>
      <c r="F211" s="7">
        <v>44040</v>
      </c>
      <c r="G211" s="11"/>
    </row>
    <row r="212" spans="1:7">
      <c r="A212" s="4" t="s">
        <v>2743</v>
      </c>
      <c r="B212" s="4" t="s">
        <v>214</v>
      </c>
      <c r="C212" s="4" t="s">
        <v>508</v>
      </c>
      <c r="D212" s="9">
        <v>99392</v>
      </c>
      <c r="E212" s="9" t="str">
        <f t="shared" si="3"/>
        <v>14-02-2172</v>
      </c>
      <c r="F212" s="7">
        <v>44041</v>
      </c>
      <c r="G212" s="11"/>
    </row>
    <row r="213" spans="1:7">
      <c r="A213" s="4" t="s">
        <v>2744</v>
      </c>
      <c r="B213" s="4" t="s">
        <v>215</v>
      </c>
      <c r="C213" s="4" t="s">
        <v>508</v>
      </c>
      <c r="D213" s="9">
        <v>95072</v>
      </c>
      <c r="E213" s="9" t="str">
        <f t="shared" si="3"/>
        <v>17-04-2160</v>
      </c>
      <c r="F213" s="7">
        <v>44042</v>
      </c>
      <c r="G213" s="11"/>
    </row>
    <row r="214" spans="1:7">
      <c r="A214" s="4" t="s">
        <v>2745</v>
      </c>
      <c r="B214" s="4" t="s">
        <v>216</v>
      </c>
      <c r="C214" s="4" t="s">
        <v>508</v>
      </c>
      <c r="D214" s="9">
        <v>38566</v>
      </c>
      <c r="E214" s="9" t="str">
        <f t="shared" si="3"/>
        <v>02-08-2005</v>
      </c>
      <c r="F214" s="7">
        <v>44043</v>
      </c>
      <c r="G214" s="11"/>
    </row>
    <row r="215" spans="1:7">
      <c r="A215" s="4" t="s">
        <v>2746</v>
      </c>
      <c r="B215" s="4" t="s">
        <v>217</v>
      </c>
      <c r="C215" s="4" t="s">
        <v>505</v>
      </c>
      <c r="D215" s="9">
        <v>47725</v>
      </c>
      <c r="E215" s="9" t="str">
        <f t="shared" si="3"/>
        <v>30-08-2030</v>
      </c>
      <c r="F215" s="7">
        <v>44044</v>
      </c>
      <c r="G215" s="11"/>
    </row>
    <row r="216" spans="1:7">
      <c r="A216" s="4" t="s">
        <v>2747</v>
      </c>
      <c r="B216" s="4" t="s">
        <v>218</v>
      </c>
      <c r="C216" s="4" t="s">
        <v>507</v>
      </c>
      <c r="D216" s="9">
        <v>40077</v>
      </c>
      <c r="E216" s="9" t="str">
        <f t="shared" si="3"/>
        <v>21-09-2009</v>
      </c>
      <c r="F216" s="7">
        <v>44045</v>
      </c>
      <c r="G216" s="11"/>
    </row>
    <row r="217" spans="1:7">
      <c r="A217" s="4" t="s">
        <v>2748</v>
      </c>
      <c r="B217" s="4" t="s">
        <v>219</v>
      </c>
      <c r="C217" s="4" t="s">
        <v>508</v>
      </c>
      <c r="D217" s="9">
        <v>81234</v>
      </c>
      <c r="E217" s="9" t="str">
        <f t="shared" si="3"/>
        <v>29-05-2122</v>
      </c>
      <c r="F217" s="7">
        <v>44046</v>
      </c>
      <c r="G217" s="11"/>
    </row>
    <row r="218" spans="1:7">
      <c r="A218" s="4" t="s">
        <v>2749</v>
      </c>
      <c r="B218" s="4" t="s">
        <v>220</v>
      </c>
      <c r="C218" s="4" t="s">
        <v>508</v>
      </c>
      <c r="D218" s="9">
        <v>68579</v>
      </c>
      <c r="E218" s="9" t="str">
        <f t="shared" si="3"/>
        <v>04-10-2087</v>
      </c>
      <c r="F218" s="7">
        <v>44047</v>
      </c>
      <c r="G218" s="11"/>
    </row>
    <row r="219" spans="1:7">
      <c r="A219" s="4" t="s">
        <v>2750</v>
      </c>
      <c r="B219" s="4" t="s">
        <v>221</v>
      </c>
      <c r="C219" s="4" t="s">
        <v>505</v>
      </c>
      <c r="D219" s="9">
        <v>71204</v>
      </c>
      <c r="E219" s="9" t="str">
        <f t="shared" si="3"/>
        <v>11-12-2094</v>
      </c>
      <c r="F219" s="7">
        <v>44048</v>
      </c>
      <c r="G219" s="11"/>
    </row>
    <row r="220" spans="1:7">
      <c r="A220" s="4" t="s">
        <v>2751</v>
      </c>
      <c r="B220" s="4" t="s">
        <v>222</v>
      </c>
      <c r="C220" s="4" t="s">
        <v>507</v>
      </c>
      <c r="D220" s="9">
        <v>65102</v>
      </c>
      <c r="E220" s="9" t="str">
        <f t="shared" si="3"/>
        <v>28-03-2078</v>
      </c>
      <c r="F220" s="7">
        <v>44049</v>
      </c>
      <c r="G220" s="11"/>
    </row>
    <row r="221" spans="1:7">
      <c r="A221" s="4" t="s">
        <v>2752</v>
      </c>
      <c r="B221" s="4" t="s">
        <v>223</v>
      </c>
      <c r="C221" s="4" t="s">
        <v>507</v>
      </c>
      <c r="D221" s="9">
        <v>62328</v>
      </c>
      <c r="E221" s="9" t="str">
        <f t="shared" si="3"/>
        <v>23-08-2070</v>
      </c>
      <c r="F221" s="7">
        <v>44050</v>
      </c>
      <c r="G221" s="11"/>
    </row>
    <row r="222" spans="1:7">
      <c r="A222" s="4" t="s">
        <v>2753</v>
      </c>
      <c r="B222" s="4" t="s">
        <v>224</v>
      </c>
      <c r="C222" s="4" t="s">
        <v>508</v>
      </c>
      <c r="D222" s="9">
        <v>86105</v>
      </c>
      <c r="E222" s="9" t="str">
        <f t="shared" si="3"/>
        <v>29-09-2135</v>
      </c>
      <c r="F222" s="7">
        <v>44051</v>
      </c>
      <c r="G222" s="11"/>
    </row>
    <row r="223" spans="1:7">
      <c r="A223" s="4" t="s">
        <v>2754</v>
      </c>
      <c r="B223" s="4" t="s">
        <v>225</v>
      </c>
      <c r="C223" s="4" t="s">
        <v>505</v>
      </c>
      <c r="D223" s="9">
        <v>63323</v>
      </c>
      <c r="E223" s="9" t="str">
        <f t="shared" si="3"/>
        <v>14-05-2073</v>
      </c>
      <c r="F223" s="7">
        <v>44052</v>
      </c>
      <c r="G223" s="11"/>
    </row>
    <row r="224" spans="1:7">
      <c r="A224" s="4" t="s">
        <v>2755</v>
      </c>
      <c r="B224" s="4" t="s">
        <v>226</v>
      </c>
      <c r="C224" s="4" t="s">
        <v>508</v>
      </c>
      <c r="D224" s="9">
        <v>47637</v>
      </c>
      <c r="E224" s="9" t="str">
        <f t="shared" si="3"/>
        <v>03-06-2030</v>
      </c>
      <c r="F224" s="7">
        <v>44053</v>
      </c>
      <c r="G224" s="11"/>
    </row>
    <row r="225" spans="1:7">
      <c r="A225" s="4" t="s">
        <v>2756</v>
      </c>
      <c r="B225" s="4" t="s">
        <v>227</v>
      </c>
      <c r="C225" s="4" t="s">
        <v>504</v>
      </c>
      <c r="D225" s="9">
        <v>67436</v>
      </c>
      <c r="E225" s="9" t="str">
        <f t="shared" si="3"/>
        <v>17-08-2084</v>
      </c>
      <c r="F225" s="7">
        <v>44054</v>
      </c>
      <c r="G225" s="11"/>
    </row>
    <row r="226" spans="1:7">
      <c r="A226" s="4" t="s">
        <v>2757</v>
      </c>
      <c r="B226" s="4" t="s">
        <v>228</v>
      </c>
      <c r="C226" s="4" t="s">
        <v>506</v>
      </c>
      <c r="D226" s="9">
        <v>43635</v>
      </c>
      <c r="E226" s="9" t="str">
        <f t="shared" si="3"/>
        <v>19-06-2019</v>
      </c>
      <c r="F226" s="7">
        <v>44055</v>
      </c>
      <c r="G226" s="11"/>
    </row>
    <row r="227" spans="1:7">
      <c r="A227" s="4" t="s">
        <v>2758</v>
      </c>
      <c r="B227" s="4" t="s">
        <v>229</v>
      </c>
      <c r="C227" s="4" t="s">
        <v>507</v>
      </c>
      <c r="D227" s="9">
        <v>36158</v>
      </c>
      <c r="E227" s="9" t="str">
        <f t="shared" si="3"/>
        <v>29-12-1998</v>
      </c>
      <c r="F227" s="7">
        <v>44056</v>
      </c>
      <c r="G227" s="11"/>
    </row>
    <row r="228" spans="1:7">
      <c r="A228" s="4" t="s">
        <v>2759</v>
      </c>
      <c r="B228" s="4" t="s">
        <v>230</v>
      </c>
      <c r="C228" s="4" t="s">
        <v>507</v>
      </c>
      <c r="D228" s="9">
        <v>74996</v>
      </c>
      <c r="E228" s="9" t="str">
        <f t="shared" si="3"/>
        <v>30-04-2105</v>
      </c>
      <c r="F228" s="7">
        <v>44057</v>
      </c>
      <c r="G228" s="11"/>
    </row>
    <row r="229" spans="1:7">
      <c r="A229" s="4" t="s">
        <v>2760</v>
      </c>
      <c r="B229" s="4" t="s">
        <v>231</v>
      </c>
      <c r="C229" s="4" t="s">
        <v>508</v>
      </c>
      <c r="D229" s="9">
        <v>72159</v>
      </c>
      <c r="E229" s="9" t="str">
        <f t="shared" si="3"/>
        <v>23-07-2097</v>
      </c>
      <c r="F229" s="7">
        <v>44058</v>
      </c>
      <c r="G229" s="11"/>
    </row>
    <row r="230" spans="1:7">
      <c r="A230" s="4" t="s">
        <v>2761</v>
      </c>
      <c r="B230" s="4" t="s">
        <v>232</v>
      </c>
      <c r="C230" s="4" t="s">
        <v>505</v>
      </c>
      <c r="D230" s="9">
        <v>52243</v>
      </c>
      <c r="E230" s="9" t="str">
        <f t="shared" si="3"/>
        <v>12-01-2043</v>
      </c>
      <c r="F230" s="7">
        <v>44059</v>
      </c>
      <c r="G230" s="11"/>
    </row>
    <row r="231" spans="1:7">
      <c r="A231" s="4" t="s">
        <v>2762</v>
      </c>
      <c r="B231" s="4" t="s">
        <v>233</v>
      </c>
      <c r="C231" s="4" t="s">
        <v>505</v>
      </c>
      <c r="D231" s="9">
        <v>57281</v>
      </c>
      <c r="E231" s="9" t="str">
        <f t="shared" si="3"/>
        <v>28-10-2056</v>
      </c>
      <c r="F231" s="7">
        <v>44060</v>
      </c>
      <c r="G231" s="11"/>
    </row>
    <row r="232" spans="1:7">
      <c r="A232" s="4" t="s">
        <v>2763</v>
      </c>
      <c r="B232" s="4" t="s">
        <v>234</v>
      </c>
      <c r="C232" s="4" t="s">
        <v>506</v>
      </c>
      <c r="D232" s="9">
        <v>60009</v>
      </c>
      <c r="E232" s="9" t="str">
        <f t="shared" si="3"/>
        <v>17-04-2064</v>
      </c>
      <c r="F232" s="7">
        <v>44061</v>
      </c>
      <c r="G232" s="11"/>
    </row>
    <row r="233" spans="1:7">
      <c r="A233" s="4" t="s">
        <v>2764</v>
      </c>
      <c r="B233" s="4" t="s">
        <v>235</v>
      </c>
      <c r="C233" s="4" t="s">
        <v>505</v>
      </c>
      <c r="D233" s="9">
        <v>88475</v>
      </c>
      <c r="E233" s="9" t="str">
        <f t="shared" si="3"/>
        <v>26-03-2142</v>
      </c>
      <c r="F233" s="7">
        <v>44062</v>
      </c>
      <c r="G233" s="11"/>
    </row>
    <row r="234" spans="1:7">
      <c r="A234" s="4" t="s">
        <v>2765</v>
      </c>
      <c r="B234" s="4" t="s">
        <v>236</v>
      </c>
      <c r="C234" s="4" t="s">
        <v>507</v>
      </c>
      <c r="D234" s="9">
        <v>40616</v>
      </c>
      <c r="E234" s="9" t="str">
        <f t="shared" si="3"/>
        <v>14-03-2011</v>
      </c>
      <c r="F234" s="7">
        <v>44063</v>
      </c>
      <c r="G234" s="11"/>
    </row>
    <row r="235" spans="1:7">
      <c r="A235" s="4" t="s">
        <v>2766</v>
      </c>
      <c r="B235" s="4" t="s">
        <v>237</v>
      </c>
      <c r="C235" s="4" t="s">
        <v>506</v>
      </c>
      <c r="D235" s="9">
        <v>39883</v>
      </c>
      <c r="E235" s="9" t="str">
        <f t="shared" si="3"/>
        <v>11-03-2009</v>
      </c>
      <c r="F235" s="7">
        <v>44064</v>
      </c>
      <c r="G235" s="11"/>
    </row>
    <row r="236" spans="1:7">
      <c r="A236" s="4" t="s">
        <v>2767</v>
      </c>
      <c r="B236" s="4" t="s">
        <v>238</v>
      </c>
      <c r="C236" s="4" t="s">
        <v>505</v>
      </c>
      <c r="D236" s="9">
        <v>68791</v>
      </c>
      <c r="E236" s="9" t="str">
        <f t="shared" si="3"/>
        <v>03-05-2088</v>
      </c>
      <c r="F236" s="7">
        <v>44065</v>
      </c>
      <c r="G236" s="11"/>
    </row>
    <row r="237" spans="1:7">
      <c r="A237" s="4" t="s">
        <v>2768</v>
      </c>
      <c r="B237" s="4" t="s">
        <v>239</v>
      </c>
      <c r="C237" s="4" t="s">
        <v>505</v>
      </c>
      <c r="D237" s="9">
        <v>60282</v>
      </c>
      <c r="E237" s="9" t="str">
        <f t="shared" si="3"/>
        <v>15-01-2065</v>
      </c>
      <c r="F237" s="7">
        <v>44066</v>
      </c>
      <c r="G237" s="11"/>
    </row>
    <row r="238" spans="1:7">
      <c r="A238" s="4" t="s">
        <v>2769</v>
      </c>
      <c r="B238" s="4" t="s">
        <v>240</v>
      </c>
      <c r="C238" s="4" t="s">
        <v>504</v>
      </c>
      <c r="D238" s="9">
        <v>42214</v>
      </c>
      <c r="E238" s="9" t="str">
        <f t="shared" si="3"/>
        <v>29-07-2015</v>
      </c>
      <c r="F238" s="7">
        <v>44067</v>
      </c>
      <c r="G238" s="11"/>
    </row>
    <row r="239" spans="1:7">
      <c r="A239" s="4" t="s">
        <v>2770</v>
      </c>
      <c r="B239" s="4" t="s">
        <v>241</v>
      </c>
      <c r="C239" s="4" t="s">
        <v>505</v>
      </c>
      <c r="D239" s="9">
        <v>86248</v>
      </c>
      <c r="E239" s="9" t="str">
        <f t="shared" si="3"/>
        <v>19-02-2136</v>
      </c>
      <c r="F239" s="7">
        <v>44068</v>
      </c>
      <c r="G239" s="11"/>
    </row>
    <row r="240" spans="1:7">
      <c r="A240" s="4" t="s">
        <v>2771</v>
      </c>
      <c r="B240" s="4" t="s">
        <v>242</v>
      </c>
      <c r="C240" s="4" t="s">
        <v>504</v>
      </c>
      <c r="D240" s="9">
        <v>35745</v>
      </c>
      <c r="E240" s="9" t="str">
        <f t="shared" si="3"/>
        <v>11-11-1997</v>
      </c>
      <c r="F240" s="7">
        <v>44069</v>
      </c>
      <c r="G240" s="11"/>
    </row>
    <row r="241" spans="1:7">
      <c r="A241" s="4" t="s">
        <v>2772</v>
      </c>
      <c r="B241" s="4" t="s">
        <v>243</v>
      </c>
      <c r="C241" s="4" t="s">
        <v>506</v>
      </c>
      <c r="D241" s="9">
        <v>46724</v>
      </c>
      <c r="E241" s="9" t="str">
        <f t="shared" si="3"/>
        <v>03-12-2027</v>
      </c>
      <c r="F241" s="7">
        <v>44070</v>
      </c>
      <c r="G241" s="11"/>
    </row>
    <row r="242" spans="1:7">
      <c r="A242" s="4" t="s">
        <v>2773</v>
      </c>
      <c r="B242" s="4" t="s">
        <v>244</v>
      </c>
      <c r="C242" s="4" t="s">
        <v>508</v>
      </c>
      <c r="D242" s="9">
        <v>84053</v>
      </c>
      <c r="E242" s="9" t="str">
        <f t="shared" si="3"/>
        <v>15-02-2130</v>
      </c>
      <c r="F242" s="7">
        <v>44071</v>
      </c>
      <c r="G242" s="11"/>
    </row>
    <row r="243" spans="1:7">
      <c r="A243" s="4" t="s">
        <v>2774</v>
      </c>
      <c r="B243" s="4" t="s">
        <v>245</v>
      </c>
      <c r="C243" s="4" t="s">
        <v>508</v>
      </c>
      <c r="D243" s="9">
        <v>32621</v>
      </c>
      <c r="E243" s="9" t="str">
        <f t="shared" si="3"/>
        <v>23-04-1989</v>
      </c>
      <c r="F243" s="7">
        <v>44072</v>
      </c>
      <c r="G243" s="11"/>
    </row>
    <row r="244" spans="1:7">
      <c r="A244" s="4" t="s">
        <v>2775</v>
      </c>
      <c r="B244" s="4" t="s">
        <v>246</v>
      </c>
      <c r="C244" s="4" t="s">
        <v>508</v>
      </c>
      <c r="D244" s="9">
        <v>30353</v>
      </c>
      <c r="E244" s="9" t="str">
        <f t="shared" si="3"/>
        <v>06-02-1983</v>
      </c>
      <c r="F244" s="7">
        <v>44073</v>
      </c>
      <c r="G244" s="11"/>
    </row>
    <row r="245" spans="1:7">
      <c r="A245" s="4" t="s">
        <v>2776</v>
      </c>
      <c r="B245" s="4" t="s">
        <v>247</v>
      </c>
      <c r="C245" s="4" t="s">
        <v>506</v>
      </c>
      <c r="D245" s="9">
        <v>56335</v>
      </c>
      <c r="E245" s="9" t="str">
        <f t="shared" si="3"/>
        <v>27-03-2054</v>
      </c>
      <c r="F245" s="7">
        <v>44074</v>
      </c>
      <c r="G245" s="11"/>
    </row>
    <row r="246" spans="1:7">
      <c r="A246" s="4" t="s">
        <v>2777</v>
      </c>
      <c r="B246" s="4" t="s">
        <v>248</v>
      </c>
      <c r="C246" s="4" t="s">
        <v>504</v>
      </c>
      <c r="D246" s="9">
        <v>33612</v>
      </c>
      <c r="E246" s="9" t="str">
        <f t="shared" si="3"/>
        <v>09-01-1992</v>
      </c>
      <c r="F246" s="7">
        <v>44075</v>
      </c>
      <c r="G246" s="11"/>
    </row>
    <row r="247" spans="1:7">
      <c r="A247" s="4" t="s">
        <v>2778</v>
      </c>
      <c r="B247" s="4" t="s">
        <v>249</v>
      </c>
      <c r="C247" s="4" t="s">
        <v>507</v>
      </c>
      <c r="D247" s="9">
        <v>41500</v>
      </c>
      <c r="E247" s="9" t="str">
        <f t="shared" si="3"/>
        <v>14-08-2013</v>
      </c>
      <c r="F247" s="7">
        <v>44076</v>
      </c>
      <c r="G247" s="11"/>
    </row>
    <row r="248" spans="1:7">
      <c r="A248" s="4" t="s">
        <v>2779</v>
      </c>
      <c r="B248" s="4" t="s">
        <v>250</v>
      </c>
      <c r="C248" s="4" t="s">
        <v>506</v>
      </c>
      <c r="D248" s="9">
        <v>64052</v>
      </c>
      <c r="E248" s="9" t="str">
        <f t="shared" si="3"/>
        <v>13-05-2075</v>
      </c>
      <c r="F248" s="7">
        <v>44077</v>
      </c>
      <c r="G248" s="11"/>
    </row>
    <row r="249" spans="1:7">
      <c r="A249" s="4" t="s">
        <v>2780</v>
      </c>
      <c r="B249" s="4" t="s">
        <v>251</v>
      </c>
      <c r="C249" s="4" t="s">
        <v>507</v>
      </c>
      <c r="D249" s="9">
        <v>47862</v>
      </c>
      <c r="E249" s="9" t="str">
        <f t="shared" si="3"/>
        <v>14-01-2031</v>
      </c>
      <c r="F249" s="7">
        <v>44078</v>
      </c>
      <c r="G249" s="11"/>
    </row>
    <row r="250" spans="1:7">
      <c r="A250" s="4" t="s">
        <v>2781</v>
      </c>
      <c r="B250" s="4" t="s">
        <v>252</v>
      </c>
      <c r="C250" s="4" t="s">
        <v>507</v>
      </c>
      <c r="D250" s="9">
        <v>44595</v>
      </c>
      <c r="E250" s="9" t="str">
        <f t="shared" si="3"/>
        <v>03-02-2022</v>
      </c>
      <c r="F250" s="7">
        <v>44079</v>
      </c>
      <c r="G250" s="11"/>
    </row>
    <row r="251" spans="1:7">
      <c r="A251" s="4" t="s">
        <v>2782</v>
      </c>
      <c r="B251" s="4" t="s">
        <v>253</v>
      </c>
      <c r="C251" s="4" t="s">
        <v>508</v>
      </c>
      <c r="D251" s="9">
        <v>56287</v>
      </c>
      <c r="E251" s="9" t="str">
        <f t="shared" si="3"/>
        <v>07-02-2054</v>
      </c>
      <c r="F251" s="7">
        <v>44080</v>
      </c>
      <c r="G251" s="11"/>
    </row>
    <row r="252" spans="1:7">
      <c r="A252" s="4" t="s">
        <v>2783</v>
      </c>
      <c r="B252" s="4" t="s">
        <v>254</v>
      </c>
      <c r="C252" s="4" t="s">
        <v>504</v>
      </c>
      <c r="D252" s="9">
        <v>82174</v>
      </c>
      <c r="E252" s="9" t="str">
        <f t="shared" si="3"/>
        <v>24-12-2124</v>
      </c>
      <c r="F252" s="7">
        <v>44081</v>
      </c>
      <c r="G252" s="11"/>
    </row>
    <row r="253" spans="1:7">
      <c r="A253" s="4" t="s">
        <v>2784</v>
      </c>
      <c r="B253" s="4" t="s">
        <v>255</v>
      </c>
      <c r="C253" s="4" t="s">
        <v>508</v>
      </c>
      <c r="D253" s="9">
        <v>85100</v>
      </c>
      <c r="E253" s="9" t="str">
        <f t="shared" si="3"/>
        <v>28-12-2132</v>
      </c>
      <c r="F253" s="7">
        <v>44082</v>
      </c>
      <c r="G253" s="11"/>
    </row>
    <row r="254" spans="1:7">
      <c r="A254" s="4" t="s">
        <v>2785</v>
      </c>
      <c r="B254" s="4" t="s">
        <v>256</v>
      </c>
      <c r="C254" s="4" t="s">
        <v>505</v>
      </c>
      <c r="D254" s="9">
        <v>70406</v>
      </c>
      <c r="E254" s="9" t="str">
        <f t="shared" si="3"/>
        <v>04-10-2092</v>
      </c>
      <c r="F254" s="7">
        <v>44083</v>
      </c>
      <c r="G254" s="11"/>
    </row>
    <row r="255" spans="1:7">
      <c r="A255" s="4" t="s">
        <v>2786</v>
      </c>
      <c r="B255" s="4" t="s">
        <v>257</v>
      </c>
      <c r="C255" s="4" t="s">
        <v>508</v>
      </c>
      <c r="D255" s="9">
        <v>75693</v>
      </c>
      <c r="E255" s="9" t="str">
        <f t="shared" si="3"/>
        <v>28-03-2107</v>
      </c>
      <c r="F255" s="7">
        <v>44084</v>
      </c>
      <c r="G255" s="11"/>
    </row>
    <row r="256" spans="1:7">
      <c r="A256" s="4" t="s">
        <v>2787</v>
      </c>
      <c r="B256" s="4" t="s">
        <v>258</v>
      </c>
      <c r="C256" s="4" t="s">
        <v>507</v>
      </c>
      <c r="D256" s="9">
        <v>74029</v>
      </c>
      <c r="E256" s="9" t="str">
        <f t="shared" si="3"/>
        <v>06-09-2102</v>
      </c>
      <c r="F256" s="7">
        <v>44085</v>
      </c>
      <c r="G256" s="11"/>
    </row>
    <row r="257" spans="1:7">
      <c r="A257" s="4" t="s">
        <v>2788</v>
      </c>
      <c r="B257" s="4" t="s">
        <v>259</v>
      </c>
      <c r="C257" s="4" t="s">
        <v>508</v>
      </c>
      <c r="D257" s="9">
        <v>53833</v>
      </c>
      <c r="E257" s="9" t="str">
        <f t="shared" si="3"/>
        <v>21-05-2047</v>
      </c>
      <c r="F257" s="7">
        <v>44086</v>
      </c>
      <c r="G257" s="11"/>
    </row>
    <row r="258" spans="1:7">
      <c r="A258" s="4" t="s">
        <v>2789</v>
      </c>
      <c r="B258" s="4" t="s">
        <v>260</v>
      </c>
      <c r="C258" s="4" t="s">
        <v>508</v>
      </c>
      <c r="D258" s="9">
        <v>97541</v>
      </c>
      <c r="E258" s="9" t="str">
        <f t="shared" si="3"/>
        <v>20-01-2167</v>
      </c>
      <c r="F258" s="7">
        <v>44087</v>
      </c>
      <c r="G258" s="11"/>
    </row>
    <row r="259" spans="1:7">
      <c r="A259" s="4" t="s">
        <v>2790</v>
      </c>
      <c r="B259" s="4" t="s">
        <v>261</v>
      </c>
      <c r="C259" s="4" t="s">
        <v>508</v>
      </c>
      <c r="D259" s="9">
        <v>89777</v>
      </c>
      <c r="E259" s="9" t="str">
        <f t="shared" ref="E259:E322" si="4">TEXT(D259,"DD-MM-YYYY")</f>
        <v>18-10-2145</v>
      </c>
      <c r="F259" s="7">
        <v>44088</v>
      </c>
      <c r="G259" s="11"/>
    </row>
    <row r="260" spans="1:7">
      <c r="A260" s="4" t="s">
        <v>2791</v>
      </c>
      <c r="B260" s="4" t="s">
        <v>262</v>
      </c>
      <c r="C260" s="4" t="s">
        <v>506</v>
      </c>
      <c r="D260" s="9">
        <v>99164</v>
      </c>
      <c r="E260" s="9" t="str">
        <f t="shared" si="4"/>
        <v>01-07-2171</v>
      </c>
      <c r="F260" s="7">
        <v>44089</v>
      </c>
      <c r="G260" s="11"/>
    </row>
    <row r="261" spans="1:7">
      <c r="A261" s="4" t="s">
        <v>2792</v>
      </c>
      <c r="B261" s="4" t="s">
        <v>263</v>
      </c>
      <c r="C261" s="4" t="s">
        <v>505</v>
      </c>
      <c r="D261" s="9">
        <v>33232</v>
      </c>
      <c r="E261" s="9" t="str">
        <f t="shared" si="4"/>
        <v>25-12-1990</v>
      </c>
      <c r="F261" s="7">
        <v>44090</v>
      </c>
      <c r="G261" s="11"/>
    </row>
    <row r="262" spans="1:7">
      <c r="A262" s="4" t="s">
        <v>2793</v>
      </c>
      <c r="B262" s="4" t="s">
        <v>264</v>
      </c>
      <c r="C262" s="4" t="s">
        <v>507</v>
      </c>
      <c r="D262" s="9">
        <v>53997</v>
      </c>
      <c r="E262" s="9" t="str">
        <f t="shared" si="4"/>
        <v>01-11-2047</v>
      </c>
      <c r="F262" s="7">
        <v>44091</v>
      </c>
      <c r="G262" s="11"/>
    </row>
    <row r="263" spans="1:7">
      <c r="A263" s="4" t="s">
        <v>2794</v>
      </c>
      <c r="B263" s="4" t="s">
        <v>265</v>
      </c>
      <c r="C263" s="4" t="s">
        <v>508</v>
      </c>
      <c r="D263" s="9">
        <v>38408</v>
      </c>
      <c r="E263" s="9" t="str">
        <f t="shared" si="4"/>
        <v>25-02-2005</v>
      </c>
      <c r="F263" s="7">
        <v>44092</v>
      </c>
      <c r="G263" s="11"/>
    </row>
    <row r="264" spans="1:7">
      <c r="A264" s="4" t="s">
        <v>2795</v>
      </c>
      <c r="B264" s="4" t="s">
        <v>266</v>
      </c>
      <c r="C264" s="4" t="s">
        <v>508</v>
      </c>
      <c r="D264" s="9">
        <v>97636</v>
      </c>
      <c r="E264" s="9" t="str">
        <f t="shared" si="4"/>
        <v>25-04-2167</v>
      </c>
      <c r="F264" s="7">
        <v>44093</v>
      </c>
      <c r="G264" s="11"/>
    </row>
    <row r="265" spans="1:7">
      <c r="A265" s="4" t="s">
        <v>2796</v>
      </c>
      <c r="B265" s="4" t="s">
        <v>267</v>
      </c>
      <c r="C265" s="4" t="s">
        <v>508</v>
      </c>
      <c r="D265" s="9">
        <v>69264</v>
      </c>
      <c r="E265" s="9" t="str">
        <f t="shared" si="4"/>
        <v>19-08-2089</v>
      </c>
      <c r="F265" s="7">
        <v>44094</v>
      </c>
      <c r="G265" s="11"/>
    </row>
    <row r="266" spans="1:7">
      <c r="A266" s="4" t="s">
        <v>2797</v>
      </c>
      <c r="B266" s="4" t="s">
        <v>268</v>
      </c>
      <c r="C266" s="4" t="s">
        <v>507</v>
      </c>
      <c r="D266" s="9">
        <v>63330</v>
      </c>
      <c r="E266" s="9" t="str">
        <f t="shared" si="4"/>
        <v>21-05-2073</v>
      </c>
      <c r="F266" s="7">
        <v>44095</v>
      </c>
      <c r="G266" s="11"/>
    </row>
    <row r="267" spans="1:7">
      <c r="A267" s="4" t="s">
        <v>2798</v>
      </c>
      <c r="B267" s="4" t="s">
        <v>269</v>
      </c>
      <c r="C267" s="4" t="s">
        <v>505</v>
      </c>
      <c r="D267" s="9">
        <v>40979</v>
      </c>
      <c r="E267" s="9" t="str">
        <f t="shared" si="4"/>
        <v>11-03-2012</v>
      </c>
      <c r="F267" s="7">
        <v>44096</v>
      </c>
      <c r="G267" s="11"/>
    </row>
    <row r="268" spans="1:7">
      <c r="A268" s="4" t="s">
        <v>2799</v>
      </c>
      <c r="B268" s="4" t="s">
        <v>270</v>
      </c>
      <c r="C268" s="4" t="s">
        <v>505</v>
      </c>
      <c r="D268" s="9">
        <v>68917</v>
      </c>
      <c r="E268" s="9" t="str">
        <f t="shared" si="4"/>
        <v>06-09-2088</v>
      </c>
      <c r="F268" s="7">
        <v>44097</v>
      </c>
      <c r="G268" s="11"/>
    </row>
    <row r="269" spans="1:7">
      <c r="A269" s="4" t="s">
        <v>2800</v>
      </c>
      <c r="B269" s="4" t="s">
        <v>271</v>
      </c>
      <c r="C269" s="4" t="s">
        <v>505</v>
      </c>
      <c r="D269" s="9">
        <v>60809</v>
      </c>
      <c r="E269" s="9" t="str">
        <f t="shared" si="4"/>
        <v>26-06-2066</v>
      </c>
      <c r="F269" s="7">
        <v>44098</v>
      </c>
      <c r="G269" s="11"/>
    </row>
    <row r="270" spans="1:7">
      <c r="A270" s="4" t="s">
        <v>2801</v>
      </c>
      <c r="B270" s="4" t="s">
        <v>272</v>
      </c>
      <c r="C270" s="4" t="s">
        <v>508</v>
      </c>
      <c r="D270" s="9">
        <v>84193</v>
      </c>
      <c r="E270" s="9" t="str">
        <f t="shared" si="4"/>
        <v>05-07-2130</v>
      </c>
      <c r="F270" s="7">
        <v>44099</v>
      </c>
      <c r="G270" s="11"/>
    </row>
    <row r="271" spans="1:7">
      <c r="A271" s="4" t="s">
        <v>2802</v>
      </c>
      <c r="B271" s="4" t="s">
        <v>273</v>
      </c>
      <c r="C271" s="4" t="s">
        <v>505</v>
      </c>
      <c r="D271" s="9">
        <v>81895</v>
      </c>
      <c r="E271" s="9" t="str">
        <f t="shared" si="4"/>
        <v>20-03-2124</v>
      </c>
      <c r="F271" s="7">
        <v>44100</v>
      </c>
      <c r="G271" s="11"/>
    </row>
    <row r="272" spans="1:7">
      <c r="A272" s="4" t="s">
        <v>2803</v>
      </c>
      <c r="B272" s="4" t="s">
        <v>274</v>
      </c>
      <c r="C272" s="4" t="s">
        <v>507</v>
      </c>
      <c r="D272" s="9">
        <v>61673</v>
      </c>
      <c r="E272" s="9" t="str">
        <f t="shared" si="4"/>
        <v>06-11-2068</v>
      </c>
      <c r="F272" s="7">
        <v>44101</v>
      </c>
      <c r="G272" s="11"/>
    </row>
    <row r="273" spans="1:7">
      <c r="A273" s="4" t="s">
        <v>2804</v>
      </c>
      <c r="B273" s="4" t="s">
        <v>275</v>
      </c>
      <c r="C273" s="4" t="s">
        <v>504</v>
      </c>
      <c r="D273" s="9">
        <v>58371</v>
      </c>
      <c r="E273" s="9" t="str">
        <f t="shared" si="4"/>
        <v>23-10-2059</v>
      </c>
      <c r="F273" s="7">
        <v>44102</v>
      </c>
      <c r="G273" s="11"/>
    </row>
    <row r="274" spans="1:7">
      <c r="A274" s="4" t="s">
        <v>2805</v>
      </c>
      <c r="B274" s="4" t="s">
        <v>276</v>
      </c>
      <c r="C274" s="4" t="s">
        <v>504</v>
      </c>
      <c r="D274" s="9">
        <v>92957</v>
      </c>
      <c r="E274" s="9" t="str">
        <f t="shared" si="4"/>
        <v>03-07-2154</v>
      </c>
      <c r="F274" s="7">
        <v>44103</v>
      </c>
      <c r="G274" s="11"/>
    </row>
    <row r="275" spans="1:7">
      <c r="A275" s="4" t="s">
        <v>2806</v>
      </c>
      <c r="B275" s="4" t="s">
        <v>277</v>
      </c>
      <c r="C275" s="4" t="s">
        <v>504</v>
      </c>
      <c r="D275" s="9">
        <v>58623</v>
      </c>
      <c r="E275" s="9" t="str">
        <f t="shared" si="4"/>
        <v>01-07-2060</v>
      </c>
      <c r="F275" s="7">
        <v>44104</v>
      </c>
      <c r="G275" s="11"/>
    </row>
    <row r="276" spans="1:7">
      <c r="A276" s="4" t="s">
        <v>2807</v>
      </c>
      <c r="B276" s="4" t="s">
        <v>278</v>
      </c>
      <c r="C276" s="4" t="s">
        <v>505</v>
      </c>
      <c r="D276" s="9">
        <v>86564</v>
      </c>
      <c r="E276" s="9" t="str">
        <f t="shared" si="4"/>
        <v>31-12-2136</v>
      </c>
      <c r="F276" s="7">
        <v>44105</v>
      </c>
      <c r="G276" s="11"/>
    </row>
    <row r="277" spans="1:7">
      <c r="A277" s="4" t="s">
        <v>2808</v>
      </c>
      <c r="B277" s="4" t="s">
        <v>279</v>
      </c>
      <c r="C277" s="4" t="s">
        <v>504</v>
      </c>
      <c r="D277" s="9">
        <v>40427</v>
      </c>
      <c r="E277" s="9" t="str">
        <f t="shared" si="4"/>
        <v>06-09-2010</v>
      </c>
      <c r="F277" s="7">
        <v>44106</v>
      </c>
      <c r="G277" s="11"/>
    </row>
    <row r="278" spans="1:7">
      <c r="A278" s="4" t="s">
        <v>2809</v>
      </c>
      <c r="B278" s="4" t="s">
        <v>280</v>
      </c>
      <c r="C278" s="4" t="s">
        <v>506</v>
      </c>
      <c r="D278" s="9">
        <v>50440</v>
      </c>
      <c r="E278" s="9" t="str">
        <f t="shared" si="4"/>
        <v>04-02-2038</v>
      </c>
      <c r="F278" s="7">
        <v>44107</v>
      </c>
      <c r="G278" s="11"/>
    </row>
    <row r="279" spans="1:7">
      <c r="A279" s="4" t="s">
        <v>2810</v>
      </c>
      <c r="B279" s="4" t="s">
        <v>281</v>
      </c>
      <c r="C279" s="4" t="s">
        <v>505</v>
      </c>
      <c r="D279" s="9">
        <v>61266</v>
      </c>
      <c r="E279" s="9" t="str">
        <f t="shared" si="4"/>
        <v>26-09-2067</v>
      </c>
      <c r="F279" s="7">
        <v>44108</v>
      </c>
      <c r="G279" s="11"/>
    </row>
    <row r="280" spans="1:7">
      <c r="A280" s="4" t="s">
        <v>2811</v>
      </c>
      <c r="B280" s="4" t="s">
        <v>282</v>
      </c>
      <c r="C280" s="4" t="s">
        <v>506</v>
      </c>
      <c r="D280" s="9">
        <v>56512</v>
      </c>
      <c r="E280" s="9" t="str">
        <f t="shared" si="4"/>
        <v>20-09-2054</v>
      </c>
      <c r="F280" s="7">
        <v>44109</v>
      </c>
      <c r="G280" s="11"/>
    </row>
    <row r="281" spans="1:7">
      <c r="A281" s="4" t="s">
        <v>2812</v>
      </c>
      <c r="B281" s="4" t="s">
        <v>283</v>
      </c>
      <c r="C281" s="4" t="s">
        <v>506</v>
      </c>
      <c r="D281" s="9">
        <v>34722</v>
      </c>
      <c r="E281" s="9" t="str">
        <f t="shared" si="4"/>
        <v>23-01-1995</v>
      </c>
      <c r="F281" s="7">
        <v>44110</v>
      </c>
      <c r="G281" s="11"/>
    </row>
    <row r="282" spans="1:7">
      <c r="A282" s="4" t="s">
        <v>2813</v>
      </c>
      <c r="B282" s="4" t="s">
        <v>284</v>
      </c>
      <c r="C282" s="4" t="s">
        <v>504</v>
      </c>
      <c r="D282" s="9">
        <v>38253</v>
      </c>
      <c r="E282" s="9" t="str">
        <f t="shared" si="4"/>
        <v>23-09-2004</v>
      </c>
      <c r="F282" s="7">
        <v>44111</v>
      </c>
      <c r="G282" s="11"/>
    </row>
    <row r="283" spans="1:7">
      <c r="A283" s="4" t="s">
        <v>2814</v>
      </c>
      <c r="B283" s="4" t="s">
        <v>285</v>
      </c>
      <c r="C283" s="4" t="s">
        <v>504</v>
      </c>
      <c r="D283" s="9">
        <v>40807</v>
      </c>
      <c r="E283" s="9" t="str">
        <f t="shared" si="4"/>
        <v>21-09-2011</v>
      </c>
      <c r="F283" s="7">
        <v>44112</v>
      </c>
      <c r="G283" s="11"/>
    </row>
    <row r="284" spans="1:7">
      <c r="A284" s="4" t="s">
        <v>2815</v>
      </c>
      <c r="B284" s="4" t="s">
        <v>286</v>
      </c>
      <c r="C284" s="4" t="s">
        <v>507</v>
      </c>
      <c r="D284" s="9">
        <v>57130</v>
      </c>
      <c r="E284" s="9" t="str">
        <f t="shared" si="4"/>
        <v>30-05-2056</v>
      </c>
      <c r="F284" s="7">
        <v>44113</v>
      </c>
      <c r="G284" s="11"/>
    </row>
    <row r="285" spans="1:7">
      <c r="A285" s="4" t="s">
        <v>2816</v>
      </c>
      <c r="B285" s="4" t="s">
        <v>287</v>
      </c>
      <c r="C285" s="4" t="s">
        <v>505</v>
      </c>
      <c r="D285" s="9">
        <v>74930</v>
      </c>
      <c r="E285" s="9" t="str">
        <f t="shared" si="4"/>
        <v>23-02-2105</v>
      </c>
      <c r="F285" s="7">
        <v>44114</v>
      </c>
      <c r="G285" s="11"/>
    </row>
    <row r="286" spans="1:7">
      <c r="A286" s="4" t="s">
        <v>2817</v>
      </c>
      <c r="B286" s="4" t="s">
        <v>288</v>
      </c>
      <c r="C286" s="4" t="s">
        <v>504</v>
      </c>
      <c r="D286" s="9">
        <v>46986</v>
      </c>
      <c r="E286" s="9" t="str">
        <f t="shared" si="4"/>
        <v>21-08-2028</v>
      </c>
      <c r="F286" s="7">
        <v>44115</v>
      </c>
      <c r="G286" s="11"/>
    </row>
    <row r="287" spans="1:7">
      <c r="A287" s="4" t="s">
        <v>2818</v>
      </c>
      <c r="B287" s="4" t="s">
        <v>289</v>
      </c>
      <c r="C287" s="4" t="s">
        <v>505</v>
      </c>
      <c r="D287" s="9">
        <v>85685</v>
      </c>
      <c r="E287" s="9" t="str">
        <f t="shared" si="4"/>
        <v>05-08-2134</v>
      </c>
      <c r="F287" s="7">
        <v>44116</v>
      </c>
      <c r="G287" s="11"/>
    </row>
    <row r="288" spans="1:7">
      <c r="A288" s="4" t="s">
        <v>2819</v>
      </c>
      <c r="B288" s="4" t="s">
        <v>290</v>
      </c>
      <c r="C288" s="4" t="s">
        <v>504</v>
      </c>
      <c r="D288" s="9">
        <v>93572</v>
      </c>
      <c r="E288" s="9" t="str">
        <f t="shared" si="4"/>
        <v>09-03-2156</v>
      </c>
      <c r="F288" s="7">
        <v>44117</v>
      </c>
      <c r="G288" s="11"/>
    </row>
    <row r="289" spans="1:7">
      <c r="A289" s="4" t="s">
        <v>2820</v>
      </c>
      <c r="B289" s="4" t="s">
        <v>291</v>
      </c>
      <c r="C289" s="4" t="s">
        <v>505</v>
      </c>
      <c r="D289" s="9">
        <v>85116</v>
      </c>
      <c r="E289" s="9" t="str">
        <f t="shared" si="4"/>
        <v>13-01-2133</v>
      </c>
      <c r="F289" s="7">
        <v>44118</v>
      </c>
      <c r="G289" s="11"/>
    </row>
    <row r="290" spans="1:7">
      <c r="A290" s="4" t="s">
        <v>2821</v>
      </c>
      <c r="B290" s="4" t="s">
        <v>292</v>
      </c>
      <c r="C290" s="4" t="s">
        <v>504</v>
      </c>
      <c r="D290" s="9">
        <v>52722</v>
      </c>
      <c r="E290" s="9" t="str">
        <f t="shared" si="4"/>
        <v>05-05-2044</v>
      </c>
      <c r="F290" s="7">
        <v>44119</v>
      </c>
      <c r="G290" s="11"/>
    </row>
    <row r="291" spans="1:7">
      <c r="A291" s="4" t="s">
        <v>2822</v>
      </c>
      <c r="B291" s="4" t="s">
        <v>293</v>
      </c>
      <c r="C291" s="4" t="s">
        <v>506</v>
      </c>
      <c r="D291" s="9">
        <v>84936</v>
      </c>
      <c r="E291" s="9" t="str">
        <f t="shared" si="4"/>
        <v>17-07-2132</v>
      </c>
      <c r="F291" s="7">
        <v>44120</v>
      </c>
      <c r="G291" s="11"/>
    </row>
    <row r="292" spans="1:7">
      <c r="A292" s="4" t="s">
        <v>2823</v>
      </c>
      <c r="B292" s="4" t="s">
        <v>294</v>
      </c>
      <c r="C292" s="4" t="s">
        <v>504</v>
      </c>
      <c r="D292" s="9">
        <v>73741</v>
      </c>
      <c r="E292" s="9" t="str">
        <f t="shared" si="4"/>
        <v>22-11-2101</v>
      </c>
      <c r="F292" s="7">
        <v>44121</v>
      </c>
      <c r="G292" s="11"/>
    </row>
    <row r="293" spans="1:7">
      <c r="A293" s="4" t="s">
        <v>2824</v>
      </c>
      <c r="B293" s="4" t="s">
        <v>295</v>
      </c>
      <c r="C293" s="4" t="s">
        <v>505</v>
      </c>
      <c r="D293" s="9">
        <v>55028</v>
      </c>
      <c r="E293" s="9" t="str">
        <f t="shared" si="4"/>
        <v>28-08-2050</v>
      </c>
      <c r="F293" s="7">
        <v>44122</v>
      </c>
      <c r="G293" s="11"/>
    </row>
    <row r="294" spans="1:7">
      <c r="A294" s="4" t="s">
        <v>2825</v>
      </c>
      <c r="B294" s="4" t="s">
        <v>296</v>
      </c>
      <c r="C294" s="4" t="s">
        <v>504</v>
      </c>
      <c r="D294" s="9">
        <v>83584</v>
      </c>
      <c r="E294" s="9" t="str">
        <f t="shared" si="4"/>
        <v>03-11-2128</v>
      </c>
      <c r="F294" s="7">
        <v>44123</v>
      </c>
      <c r="G294" s="11"/>
    </row>
    <row r="295" spans="1:7">
      <c r="A295" s="4" t="s">
        <v>2826</v>
      </c>
      <c r="B295" s="4" t="s">
        <v>297</v>
      </c>
      <c r="C295" s="4" t="s">
        <v>507</v>
      </c>
      <c r="D295" s="9">
        <v>53127</v>
      </c>
      <c r="E295" s="9" t="str">
        <f t="shared" si="4"/>
        <v>14-06-2045</v>
      </c>
      <c r="F295" s="7">
        <v>44124</v>
      </c>
      <c r="G295" s="11"/>
    </row>
    <row r="296" spans="1:7">
      <c r="A296" s="4" t="s">
        <v>2827</v>
      </c>
      <c r="B296" s="4" t="s">
        <v>298</v>
      </c>
      <c r="C296" s="4" t="s">
        <v>504</v>
      </c>
      <c r="D296" s="9">
        <v>32007</v>
      </c>
      <c r="E296" s="9" t="str">
        <f t="shared" si="4"/>
        <v>18-08-1987</v>
      </c>
      <c r="F296" s="7">
        <v>44125</v>
      </c>
      <c r="G296" s="11"/>
    </row>
    <row r="297" spans="1:7">
      <c r="A297" s="4" t="s">
        <v>2828</v>
      </c>
      <c r="B297" s="4" t="s">
        <v>299</v>
      </c>
      <c r="C297" s="4" t="s">
        <v>507</v>
      </c>
      <c r="D297" s="9">
        <v>37853</v>
      </c>
      <c r="E297" s="9" t="str">
        <f t="shared" si="4"/>
        <v>20-08-2003</v>
      </c>
      <c r="F297" s="7">
        <v>44126</v>
      </c>
      <c r="G297" s="11"/>
    </row>
    <row r="298" spans="1:7">
      <c r="A298" s="4" t="s">
        <v>2829</v>
      </c>
      <c r="B298" s="4" t="s">
        <v>300</v>
      </c>
      <c r="C298" s="4" t="s">
        <v>508</v>
      </c>
      <c r="D298" s="9">
        <v>62039</v>
      </c>
      <c r="E298" s="9" t="str">
        <f t="shared" si="4"/>
        <v>07-11-2069</v>
      </c>
      <c r="F298" s="7">
        <v>44127</v>
      </c>
      <c r="G298" s="11"/>
    </row>
    <row r="299" spans="1:7">
      <c r="A299" s="4" t="s">
        <v>2830</v>
      </c>
      <c r="B299" s="4" t="s">
        <v>301</v>
      </c>
      <c r="C299" s="4" t="s">
        <v>506</v>
      </c>
      <c r="D299" s="9">
        <v>85293</v>
      </c>
      <c r="E299" s="9" t="str">
        <f t="shared" si="4"/>
        <v>09-07-2133</v>
      </c>
      <c r="F299" s="7">
        <v>44128</v>
      </c>
      <c r="G299" s="11"/>
    </row>
    <row r="300" spans="1:7">
      <c r="A300" s="4" t="s">
        <v>2831</v>
      </c>
      <c r="B300" s="4" t="s">
        <v>302</v>
      </c>
      <c r="C300" s="4" t="s">
        <v>505</v>
      </c>
      <c r="D300" s="9">
        <v>79270</v>
      </c>
      <c r="E300" s="9" t="str">
        <f t="shared" si="4"/>
        <v>11-01-2117</v>
      </c>
      <c r="F300" s="7">
        <v>44129</v>
      </c>
      <c r="G300" s="11"/>
    </row>
    <row r="301" spans="1:7">
      <c r="A301" s="4" t="s">
        <v>2832</v>
      </c>
      <c r="B301" s="4" t="s">
        <v>303</v>
      </c>
      <c r="C301" s="4" t="s">
        <v>506</v>
      </c>
      <c r="D301" s="9">
        <v>32957</v>
      </c>
      <c r="E301" s="9" t="str">
        <f t="shared" si="4"/>
        <v>25-03-1990</v>
      </c>
      <c r="F301" s="7">
        <v>44130</v>
      </c>
      <c r="G301" s="11"/>
    </row>
    <row r="302" spans="1:7">
      <c r="A302" s="4" t="s">
        <v>2833</v>
      </c>
      <c r="B302" s="4" t="s">
        <v>304</v>
      </c>
      <c r="C302" s="4" t="s">
        <v>507</v>
      </c>
      <c r="D302" s="9">
        <v>58931</v>
      </c>
      <c r="E302" s="9" t="str">
        <f t="shared" si="4"/>
        <v>05-05-2061</v>
      </c>
      <c r="F302" s="7">
        <v>44131</v>
      </c>
      <c r="G302" s="11"/>
    </row>
    <row r="303" spans="1:7">
      <c r="A303" s="4" t="s">
        <v>2834</v>
      </c>
      <c r="B303" s="4" t="s">
        <v>305</v>
      </c>
      <c r="C303" s="4" t="s">
        <v>504</v>
      </c>
      <c r="D303" s="9">
        <v>86055</v>
      </c>
      <c r="E303" s="9" t="str">
        <f t="shared" si="4"/>
        <v>10-08-2135</v>
      </c>
      <c r="F303" s="7">
        <v>44132</v>
      </c>
      <c r="G303" s="11"/>
    </row>
    <row r="304" spans="1:7">
      <c r="A304" s="4" t="s">
        <v>2835</v>
      </c>
      <c r="B304" s="4" t="s">
        <v>306</v>
      </c>
      <c r="C304" s="4" t="s">
        <v>506</v>
      </c>
      <c r="D304" s="9">
        <v>82776</v>
      </c>
      <c r="E304" s="9" t="str">
        <f t="shared" si="4"/>
        <v>18-08-2126</v>
      </c>
      <c r="F304" s="7">
        <v>44133</v>
      </c>
      <c r="G304" s="11"/>
    </row>
    <row r="305" spans="1:7">
      <c r="A305" s="4" t="s">
        <v>2836</v>
      </c>
      <c r="B305" s="4" t="s">
        <v>307</v>
      </c>
      <c r="C305" s="4" t="s">
        <v>505</v>
      </c>
      <c r="D305" s="9">
        <v>58946</v>
      </c>
      <c r="E305" s="9" t="str">
        <f t="shared" si="4"/>
        <v>20-05-2061</v>
      </c>
      <c r="F305" s="7">
        <v>44134</v>
      </c>
      <c r="G305" s="11"/>
    </row>
    <row r="306" spans="1:7">
      <c r="A306" s="4" t="s">
        <v>2837</v>
      </c>
      <c r="B306" s="4" t="s">
        <v>308</v>
      </c>
      <c r="C306" s="4" t="s">
        <v>504</v>
      </c>
      <c r="D306" s="9">
        <v>96601</v>
      </c>
      <c r="E306" s="9" t="str">
        <f t="shared" si="4"/>
        <v>24-06-2164</v>
      </c>
      <c r="F306" s="7">
        <v>44135</v>
      </c>
      <c r="G306" s="11"/>
    </row>
    <row r="307" spans="1:7">
      <c r="A307" s="4" t="s">
        <v>2838</v>
      </c>
      <c r="B307" s="4" t="s">
        <v>309</v>
      </c>
      <c r="C307" s="4" t="s">
        <v>507</v>
      </c>
      <c r="D307" s="9">
        <v>61353</v>
      </c>
      <c r="E307" s="9" t="str">
        <f t="shared" si="4"/>
        <v>22-12-2067</v>
      </c>
      <c r="F307" s="7">
        <v>44136</v>
      </c>
      <c r="G307" s="11"/>
    </row>
    <row r="308" spans="1:7">
      <c r="A308" s="4" t="s">
        <v>2839</v>
      </c>
      <c r="B308" s="4" t="s">
        <v>310</v>
      </c>
      <c r="C308" s="4" t="s">
        <v>508</v>
      </c>
      <c r="D308" s="9">
        <v>75962</v>
      </c>
      <c r="E308" s="9" t="str">
        <f t="shared" si="4"/>
        <v>22-12-2107</v>
      </c>
      <c r="F308" s="7">
        <v>44137</v>
      </c>
      <c r="G308" s="11"/>
    </row>
    <row r="309" spans="1:7">
      <c r="A309" s="4" t="s">
        <v>2840</v>
      </c>
      <c r="B309" s="4" t="s">
        <v>311</v>
      </c>
      <c r="C309" s="4" t="s">
        <v>507</v>
      </c>
      <c r="D309" s="9">
        <v>54569</v>
      </c>
      <c r="E309" s="9" t="str">
        <f t="shared" si="4"/>
        <v>26-05-2049</v>
      </c>
      <c r="F309" s="7">
        <v>44138</v>
      </c>
      <c r="G309" s="11"/>
    </row>
    <row r="310" spans="1:7">
      <c r="A310" s="4" t="s">
        <v>2841</v>
      </c>
      <c r="B310" s="4" t="s">
        <v>312</v>
      </c>
      <c r="C310" s="4" t="s">
        <v>507</v>
      </c>
      <c r="D310" s="9">
        <v>53173</v>
      </c>
      <c r="E310" s="9" t="str">
        <f t="shared" si="4"/>
        <v>30-07-2045</v>
      </c>
      <c r="F310" s="7">
        <v>44139</v>
      </c>
      <c r="G310" s="11"/>
    </row>
    <row r="311" spans="1:7">
      <c r="A311" s="4" t="s">
        <v>2842</v>
      </c>
      <c r="B311" s="4" t="s">
        <v>313</v>
      </c>
      <c r="C311" s="4" t="s">
        <v>506</v>
      </c>
      <c r="D311" s="9">
        <v>90312</v>
      </c>
      <c r="E311" s="9" t="str">
        <f t="shared" si="4"/>
        <v>06-04-2147</v>
      </c>
      <c r="F311" s="7">
        <v>44140</v>
      </c>
      <c r="G311" s="11"/>
    </row>
    <row r="312" spans="1:7">
      <c r="A312" s="4" t="s">
        <v>2843</v>
      </c>
      <c r="B312" s="4" t="s">
        <v>314</v>
      </c>
      <c r="C312" s="4" t="s">
        <v>504</v>
      </c>
      <c r="D312" s="9">
        <v>85906</v>
      </c>
      <c r="E312" s="9" t="str">
        <f t="shared" si="4"/>
        <v>14-03-2135</v>
      </c>
      <c r="F312" s="7">
        <v>44141</v>
      </c>
      <c r="G312" s="11"/>
    </row>
    <row r="313" spans="1:7">
      <c r="A313" s="4" t="s">
        <v>2844</v>
      </c>
      <c r="B313" s="4" t="s">
        <v>315</v>
      </c>
      <c r="C313" s="4" t="s">
        <v>507</v>
      </c>
      <c r="D313" s="9">
        <v>45533</v>
      </c>
      <c r="E313" s="9" t="str">
        <f t="shared" si="4"/>
        <v>29-08-2024</v>
      </c>
      <c r="F313" s="7">
        <v>44142</v>
      </c>
      <c r="G313" s="11"/>
    </row>
    <row r="314" spans="1:7">
      <c r="A314" s="4" t="s">
        <v>2845</v>
      </c>
      <c r="B314" s="4" t="s">
        <v>316</v>
      </c>
      <c r="C314" s="4" t="s">
        <v>505</v>
      </c>
      <c r="D314" s="9">
        <v>99343</v>
      </c>
      <c r="E314" s="9" t="str">
        <f t="shared" si="4"/>
        <v>27-12-2171</v>
      </c>
      <c r="F314" s="7">
        <v>44143</v>
      </c>
      <c r="G314" s="11"/>
    </row>
    <row r="315" spans="1:7">
      <c r="A315" s="4" t="s">
        <v>2846</v>
      </c>
      <c r="B315" s="4" t="s">
        <v>317</v>
      </c>
      <c r="C315" s="4" t="s">
        <v>504</v>
      </c>
      <c r="D315" s="9">
        <v>56359</v>
      </c>
      <c r="E315" s="9" t="str">
        <f t="shared" si="4"/>
        <v>20-04-2054</v>
      </c>
      <c r="F315" s="7">
        <v>44144</v>
      </c>
      <c r="G315" s="11"/>
    </row>
    <row r="316" spans="1:7">
      <c r="A316" s="4" t="s">
        <v>2847</v>
      </c>
      <c r="B316" s="4" t="s">
        <v>318</v>
      </c>
      <c r="C316" s="4" t="s">
        <v>507</v>
      </c>
      <c r="D316" s="9">
        <v>36682</v>
      </c>
      <c r="E316" s="9" t="str">
        <f t="shared" si="4"/>
        <v>05-06-2000</v>
      </c>
      <c r="F316" s="7">
        <v>44145</v>
      </c>
      <c r="G316" s="11"/>
    </row>
    <row r="317" spans="1:7">
      <c r="A317" s="4" t="s">
        <v>2848</v>
      </c>
      <c r="B317" s="4" t="s">
        <v>319</v>
      </c>
      <c r="C317" s="4" t="s">
        <v>506</v>
      </c>
      <c r="D317" s="9">
        <v>60291</v>
      </c>
      <c r="E317" s="9" t="str">
        <f t="shared" si="4"/>
        <v>24-01-2065</v>
      </c>
      <c r="F317" s="7">
        <v>44146</v>
      </c>
      <c r="G317" s="11"/>
    </row>
    <row r="318" spans="1:7">
      <c r="A318" s="4" t="s">
        <v>2849</v>
      </c>
      <c r="B318" s="4" t="s">
        <v>320</v>
      </c>
      <c r="C318" s="4" t="s">
        <v>507</v>
      </c>
      <c r="D318" s="9">
        <v>39536</v>
      </c>
      <c r="E318" s="9" t="str">
        <f t="shared" si="4"/>
        <v>29-03-2008</v>
      </c>
      <c r="F318" s="7">
        <v>44147</v>
      </c>
      <c r="G318" s="11"/>
    </row>
    <row r="319" spans="1:7">
      <c r="A319" s="4" t="s">
        <v>2850</v>
      </c>
      <c r="B319" s="4" t="s">
        <v>321</v>
      </c>
      <c r="C319" s="4" t="s">
        <v>505</v>
      </c>
      <c r="D319" s="9">
        <v>92348</v>
      </c>
      <c r="E319" s="9" t="str">
        <f t="shared" si="4"/>
        <v>01-11-2152</v>
      </c>
      <c r="F319" s="7">
        <v>44148</v>
      </c>
      <c r="G319" s="11"/>
    </row>
    <row r="320" spans="1:7">
      <c r="A320" s="4" t="s">
        <v>2851</v>
      </c>
      <c r="B320" s="4" t="s">
        <v>322</v>
      </c>
      <c r="C320" s="4" t="s">
        <v>505</v>
      </c>
      <c r="D320" s="9">
        <v>88982</v>
      </c>
      <c r="E320" s="9" t="str">
        <f t="shared" si="4"/>
        <v>15-08-2143</v>
      </c>
      <c r="F320" s="7">
        <v>44149</v>
      </c>
      <c r="G320" s="11"/>
    </row>
    <row r="321" spans="1:7">
      <c r="A321" s="4" t="s">
        <v>2852</v>
      </c>
      <c r="B321" s="4" t="s">
        <v>323</v>
      </c>
      <c r="C321" s="4" t="s">
        <v>504</v>
      </c>
      <c r="D321" s="9">
        <v>61866</v>
      </c>
      <c r="E321" s="9" t="str">
        <f t="shared" si="4"/>
        <v>18-05-2069</v>
      </c>
      <c r="F321" s="7">
        <v>44150</v>
      </c>
      <c r="G321" s="11"/>
    </row>
    <row r="322" spans="1:7">
      <c r="A322" s="4" t="s">
        <v>2853</v>
      </c>
      <c r="B322" s="4" t="s">
        <v>324</v>
      </c>
      <c r="C322" s="4" t="s">
        <v>504</v>
      </c>
      <c r="D322" s="9">
        <v>61657</v>
      </c>
      <c r="E322" s="9" t="str">
        <f t="shared" si="4"/>
        <v>21-10-2068</v>
      </c>
      <c r="F322" s="7">
        <v>44151</v>
      </c>
      <c r="G322" s="11"/>
    </row>
    <row r="323" spans="1:7">
      <c r="A323" s="4" t="s">
        <v>2854</v>
      </c>
      <c r="B323" s="4" t="s">
        <v>325</v>
      </c>
      <c r="C323" s="4" t="s">
        <v>506</v>
      </c>
      <c r="D323" s="9">
        <v>88608</v>
      </c>
      <c r="E323" s="9" t="str">
        <f t="shared" ref="E323:E386" si="5">TEXT(D323,"DD-MM-YYYY")</f>
        <v>06-08-2142</v>
      </c>
      <c r="F323" s="7">
        <v>44152</v>
      </c>
      <c r="G323" s="11"/>
    </row>
    <row r="324" spans="1:7">
      <c r="A324" s="4" t="s">
        <v>2855</v>
      </c>
      <c r="B324" s="4" t="s">
        <v>326</v>
      </c>
      <c r="C324" s="4" t="s">
        <v>505</v>
      </c>
      <c r="D324" s="9">
        <v>69391</v>
      </c>
      <c r="E324" s="9" t="str">
        <f t="shared" si="5"/>
        <v>24-12-2089</v>
      </c>
      <c r="F324" s="7">
        <v>44153</v>
      </c>
      <c r="G324" s="11"/>
    </row>
    <row r="325" spans="1:7">
      <c r="A325" s="4" t="s">
        <v>2856</v>
      </c>
      <c r="B325" s="4" t="s">
        <v>327</v>
      </c>
      <c r="C325" s="4" t="s">
        <v>507</v>
      </c>
      <c r="D325" s="9">
        <v>52225</v>
      </c>
      <c r="E325" s="9" t="str">
        <f t="shared" si="5"/>
        <v>25-12-2042</v>
      </c>
      <c r="F325" s="7">
        <v>44154</v>
      </c>
      <c r="G325" s="11"/>
    </row>
    <row r="326" spans="1:7">
      <c r="A326" s="4" t="s">
        <v>2857</v>
      </c>
      <c r="B326" s="4" t="s">
        <v>328</v>
      </c>
      <c r="C326" s="4" t="s">
        <v>506</v>
      </c>
      <c r="D326" s="9">
        <v>45384</v>
      </c>
      <c r="E326" s="9" t="str">
        <f t="shared" si="5"/>
        <v>02-04-2024</v>
      </c>
      <c r="F326" s="7">
        <v>44155</v>
      </c>
      <c r="G326" s="11"/>
    </row>
    <row r="327" spans="1:7">
      <c r="A327" s="4" t="s">
        <v>2858</v>
      </c>
      <c r="B327" s="4" t="s">
        <v>329</v>
      </c>
      <c r="C327" s="4" t="s">
        <v>506</v>
      </c>
      <c r="D327" s="9">
        <v>62550</v>
      </c>
      <c r="E327" s="9" t="str">
        <f t="shared" si="5"/>
        <v>02-04-2071</v>
      </c>
      <c r="F327" s="7">
        <v>44156</v>
      </c>
      <c r="G327" s="11"/>
    </row>
    <row r="328" spans="1:7">
      <c r="A328" s="4" t="s">
        <v>2859</v>
      </c>
      <c r="B328" s="4" t="s">
        <v>330</v>
      </c>
      <c r="C328" s="4" t="s">
        <v>505</v>
      </c>
      <c r="D328" s="9">
        <v>73393</v>
      </c>
      <c r="E328" s="9" t="str">
        <f t="shared" si="5"/>
        <v>09-12-2100</v>
      </c>
      <c r="F328" s="7">
        <v>44157</v>
      </c>
      <c r="G328" s="11"/>
    </row>
    <row r="329" spans="1:7">
      <c r="A329" s="4" t="s">
        <v>2860</v>
      </c>
      <c r="B329" s="4" t="s">
        <v>331</v>
      </c>
      <c r="C329" s="4" t="s">
        <v>507</v>
      </c>
      <c r="D329" s="9">
        <v>78593</v>
      </c>
      <c r="E329" s="9" t="str">
        <f t="shared" si="5"/>
        <v>06-03-2115</v>
      </c>
      <c r="F329" s="7">
        <v>44158</v>
      </c>
      <c r="G329" s="11"/>
    </row>
    <row r="330" spans="1:7">
      <c r="A330" s="4" t="s">
        <v>2861</v>
      </c>
      <c r="B330" s="4" t="s">
        <v>332</v>
      </c>
      <c r="C330" s="4" t="s">
        <v>508</v>
      </c>
      <c r="D330" s="9">
        <v>53704</v>
      </c>
      <c r="E330" s="9" t="str">
        <f t="shared" si="5"/>
        <v>12-01-2047</v>
      </c>
      <c r="F330" s="7">
        <v>44159</v>
      </c>
      <c r="G330" s="11"/>
    </row>
    <row r="331" spans="1:7">
      <c r="A331" s="4" t="s">
        <v>2862</v>
      </c>
      <c r="B331" s="4" t="s">
        <v>333</v>
      </c>
      <c r="C331" s="4" t="s">
        <v>508</v>
      </c>
      <c r="D331" s="9">
        <v>58125</v>
      </c>
      <c r="E331" s="9" t="str">
        <f t="shared" si="5"/>
        <v>19-02-2059</v>
      </c>
      <c r="F331" s="7">
        <v>44160</v>
      </c>
      <c r="G331" s="11"/>
    </row>
    <row r="332" spans="1:7">
      <c r="A332" s="4" t="s">
        <v>2863</v>
      </c>
      <c r="B332" s="4" t="s">
        <v>334</v>
      </c>
      <c r="C332" s="4" t="s">
        <v>507</v>
      </c>
      <c r="D332" s="9">
        <v>58988</v>
      </c>
      <c r="E332" s="9" t="str">
        <f t="shared" si="5"/>
        <v>01-07-2061</v>
      </c>
      <c r="F332" s="7">
        <v>44161</v>
      </c>
      <c r="G332" s="11"/>
    </row>
    <row r="333" spans="1:7">
      <c r="A333" s="4" t="s">
        <v>2864</v>
      </c>
      <c r="B333" s="4" t="s">
        <v>335</v>
      </c>
      <c r="C333" s="4" t="s">
        <v>508</v>
      </c>
      <c r="D333" s="9">
        <v>56109</v>
      </c>
      <c r="E333" s="9" t="str">
        <f t="shared" si="5"/>
        <v>13-08-2053</v>
      </c>
      <c r="F333" s="7">
        <v>44162</v>
      </c>
      <c r="G333" s="11"/>
    </row>
    <row r="334" spans="1:7">
      <c r="A334" s="4" t="s">
        <v>2865</v>
      </c>
      <c r="B334" s="4" t="s">
        <v>336</v>
      </c>
      <c r="C334" s="4" t="s">
        <v>504</v>
      </c>
      <c r="D334" s="9">
        <v>75357</v>
      </c>
      <c r="E334" s="9" t="str">
        <f t="shared" si="5"/>
        <v>26-04-2106</v>
      </c>
      <c r="F334" s="7">
        <v>44163</v>
      </c>
      <c r="G334" s="11"/>
    </row>
    <row r="335" spans="1:7">
      <c r="A335" s="4" t="s">
        <v>2866</v>
      </c>
      <c r="B335" s="4" t="s">
        <v>337</v>
      </c>
      <c r="C335" s="4" t="s">
        <v>505</v>
      </c>
      <c r="D335" s="9">
        <v>72922</v>
      </c>
      <c r="E335" s="9" t="str">
        <f t="shared" si="5"/>
        <v>25-08-2099</v>
      </c>
      <c r="F335" s="7">
        <v>44164</v>
      </c>
      <c r="G335" s="11"/>
    </row>
    <row r="336" spans="1:7">
      <c r="A336" s="4" t="s">
        <v>2867</v>
      </c>
      <c r="B336" s="4" t="s">
        <v>338</v>
      </c>
      <c r="C336" s="4" t="s">
        <v>508</v>
      </c>
      <c r="D336" s="9">
        <v>35857</v>
      </c>
      <c r="E336" s="9" t="str">
        <f t="shared" si="5"/>
        <v>03-03-1998</v>
      </c>
      <c r="F336" s="7">
        <v>44165</v>
      </c>
      <c r="G336" s="11"/>
    </row>
    <row r="337" spans="1:7">
      <c r="A337" s="4" t="s">
        <v>2868</v>
      </c>
      <c r="B337" s="4" t="s">
        <v>339</v>
      </c>
      <c r="C337" s="4" t="s">
        <v>504</v>
      </c>
      <c r="D337" s="9">
        <v>62935</v>
      </c>
      <c r="E337" s="9" t="str">
        <f t="shared" si="5"/>
        <v>21-04-2072</v>
      </c>
      <c r="F337" s="7">
        <v>44166</v>
      </c>
      <c r="G337" s="11"/>
    </row>
    <row r="338" spans="1:7">
      <c r="A338" s="4" t="s">
        <v>2869</v>
      </c>
      <c r="B338" s="4" t="s">
        <v>340</v>
      </c>
      <c r="C338" s="4" t="s">
        <v>504</v>
      </c>
      <c r="D338" s="9">
        <v>48788</v>
      </c>
      <c r="E338" s="9" t="str">
        <f t="shared" si="5"/>
        <v>28-07-2033</v>
      </c>
      <c r="F338" s="7">
        <v>44167</v>
      </c>
      <c r="G338" s="11"/>
    </row>
    <row r="339" spans="1:7">
      <c r="A339" s="4" t="s">
        <v>2870</v>
      </c>
      <c r="B339" s="4" t="s">
        <v>341</v>
      </c>
      <c r="C339" s="4" t="s">
        <v>507</v>
      </c>
      <c r="D339" s="9">
        <v>95814</v>
      </c>
      <c r="E339" s="9" t="str">
        <f t="shared" si="5"/>
        <v>29-04-2162</v>
      </c>
      <c r="F339" s="7">
        <v>44168</v>
      </c>
      <c r="G339" s="11"/>
    </row>
    <row r="340" spans="1:7">
      <c r="A340" s="4" t="s">
        <v>2871</v>
      </c>
      <c r="B340" s="4" t="s">
        <v>342</v>
      </c>
      <c r="C340" s="4" t="s">
        <v>506</v>
      </c>
      <c r="D340" s="9">
        <v>92881</v>
      </c>
      <c r="E340" s="9" t="str">
        <f t="shared" si="5"/>
        <v>18-04-2154</v>
      </c>
      <c r="F340" s="7">
        <v>44169</v>
      </c>
      <c r="G340" s="11"/>
    </row>
    <row r="341" spans="1:7">
      <c r="A341" s="4" t="s">
        <v>2872</v>
      </c>
      <c r="B341" s="4" t="s">
        <v>343</v>
      </c>
      <c r="C341" s="4" t="s">
        <v>505</v>
      </c>
      <c r="D341" s="9">
        <v>70734</v>
      </c>
      <c r="E341" s="9" t="str">
        <f t="shared" si="5"/>
        <v>28-08-2093</v>
      </c>
      <c r="F341" s="7">
        <v>44170</v>
      </c>
      <c r="G341" s="11"/>
    </row>
    <row r="342" spans="1:7">
      <c r="A342" s="4" t="s">
        <v>2873</v>
      </c>
      <c r="B342" s="4" t="s">
        <v>344</v>
      </c>
      <c r="C342" s="4" t="s">
        <v>505</v>
      </c>
      <c r="D342" s="9">
        <v>72524</v>
      </c>
      <c r="E342" s="9" t="str">
        <f t="shared" si="5"/>
        <v>23-07-2098</v>
      </c>
      <c r="F342" s="7">
        <v>44171</v>
      </c>
      <c r="G342" s="11"/>
    </row>
    <row r="343" spans="1:7">
      <c r="A343" s="4" t="s">
        <v>2874</v>
      </c>
      <c r="B343" s="4" t="s">
        <v>345</v>
      </c>
      <c r="C343" s="4" t="s">
        <v>507</v>
      </c>
      <c r="D343" s="9">
        <v>91078</v>
      </c>
      <c r="E343" s="9" t="str">
        <f t="shared" si="5"/>
        <v>11-05-2149</v>
      </c>
      <c r="F343" s="7">
        <v>44172</v>
      </c>
      <c r="G343" s="11"/>
    </row>
    <row r="344" spans="1:7">
      <c r="A344" s="4" t="s">
        <v>2875</v>
      </c>
      <c r="B344" s="4" t="s">
        <v>346</v>
      </c>
      <c r="C344" s="4" t="s">
        <v>507</v>
      </c>
      <c r="D344" s="9">
        <v>97383</v>
      </c>
      <c r="E344" s="9" t="str">
        <f t="shared" si="5"/>
        <v>15-08-2166</v>
      </c>
      <c r="F344" s="7">
        <v>44173</v>
      </c>
      <c r="G344" s="11"/>
    </row>
    <row r="345" spans="1:7">
      <c r="A345" s="4" t="s">
        <v>2876</v>
      </c>
      <c r="B345" s="4" t="s">
        <v>347</v>
      </c>
      <c r="C345" s="4" t="s">
        <v>504</v>
      </c>
      <c r="D345" s="9">
        <v>88485</v>
      </c>
      <c r="E345" s="9" t="str">
        <f t="shared" si="5"/>
        <v>05-04-2142</v>
      </c>
      <c r="F345" s="7">
        <v>44174</v>
      </c>
      <c r="G345" s="11"/>
    </row>
    <row r="346" spans="1:7">
      <c r="A346" s="4" t="s">
        <v>2877</v>
      </c>
      <c r="B346" s="4" t="s">
        <v>348</v>
      </c>
      <c r="C346" s="4" t="s">
        <v>506</v>
      </c>
      <c r="D346" s="9">
        <v>94176</v>
      </c>
      <c r="E346" s="9" t="str">
        <f t="shared" si="5"/>
        <v>03-11-2157</v>
      </c>
      <c r="F346" s="7">
        <v>44175</v>
      </c>
      <c r="G346" s="11"/>
    </row>
    <row r="347" spans="1:7">
      <c r="A347" s="4" t="s">
        <v>2878</v>
      </c>
      <c r="B347" s="4" t="s">
        <v>349</v>
      </c>
      <c r="C347" s="4" t="s">
        <v>508</v>
      </c>
      <c r="D347" s="9">
        <v>68258</v>
      </c>
      <c r="E347" s="9" t="str">
        <f t="shared" si="5"/>
        <v>17-11-2086</v>
      </c>
      <c r="F347" s="7">
        <v>44176</v>
      </c>
      <c r="G347" s="11"/>
    </row>
    <row r="348" spans="1:7">
      <c r="A348" s="4" t="s">
        <v>2879</v>
      </c>
      <c r="B348" s="4" t="s">
        <v>350</v>
      </c>
      <c r="C348" s="4" t="s">
        <v>504</v>
      </c>
      <c r="D348" s="9">
        <v>31398</v>
      </c>
      <c r="E348" s="9" t="str">
        <f t="shared" si="5"/>
        <v>17-12-1985</v>
      </c>
      <c r="F348" s="7">
        <v>44177</v>
      </c>
      <c r="G348" s="11"/>
    </row>
    <row r="349" spans="1:7">
      <c r="A349" s="4" t="s">
        <v>2880</v>
      </c>
      <c r="B349" s="4" t="s">
        <v>351</v>
      </c>
      <c r="C349" s="4" t="s">
        <v>506</v>
      </c>
      <c r="D349" s="9">
        <v>95302</v>
      </c>
      <c r="E349" s="9" t="str">
        <f t="shared" si="5"/>
        <v>03-12-2160</v>
      </c>
      <c r="F349" s="7">
        <v>44178</v>
      </c>
      <c r="G349" s="11"/>
    </row>
    <row r="350" spans="1:7">
      <c r="A350" s="4" t="s">
        <v>2881</v>
      </c>
      <c r="B350" s="4" t="s">
        <v>352</v>
      </c>
      <c r="C350" s="4" t="s">
        <v>508</v>
      </c>
      <c r="D350" s="9">
        <v>71264</v>
      </c>
      <c r="E350" s="9" t="str">
        <f t="shared" si="5"/>
        <v>09-02-2095</v>
      </c>
      <c r="F350" s="7">
        <v>44179</v>
      </c>
      <c r="G350" s="11"/>
    </row>
    <row r="351" spans="1:7">
      <c r="A351" s="4" t="s">
        <v>2882</v>
      </c>
      <c r="B351" s="4" t="s">
        <v>353</v>
      </c>
      <c r="C351" s="4" t="s">
        <v>507</v>
      </c>
      <c r="D351" s="9">
        <v>59503</v>
      </c>
      <c r="E351" s="9" t="str">
        <f t="shared" si="5"/>
        <v>28-11-2062</v>
      </c>
      <c r="F351" s="7">
        <v>44180</v>
      </c>
      <c r="G351" s="11"/>
    </row>
    <row r="352" spans="1:7">
      <c r="A352" s="4" t="s">
        <v>2883</v>
      </c>
      <c r="B352" s="4" t="s">
        <v>354</v>
      </c>
      <c r="C352" s="4" t="s">
        <v>505</v>
      </c>
      <c r="D352" s="9">
        <v>51475</v>
      </c>
      <c r="E352" s="9" t="str">
        <f t="shared" si="5"/>
        <v>05-12-2040</v>
      </c>
      <c r="F352" s="7">
        <v>44181</v>
      </c>
      <c r="G352" s="11"/>
    </row>
    <row r="353" spans="1:7">
      <c r="A353" s="4" t="s">
        <v>2884</v>
      </c>
      <c r="B353" s="4" t="s">
        <v>355</v>
      </c>
      <c r="C353" s="4" t="s">
        <v>504</v>
      </c>
      <c r="D353" s="9">
        <v>50003</v>
      </c>
      <c r="E353" s="9" t="str">
        <f t="shared" si="5"/>
        <v>24-11-2036</v>
      </c>
      <c r="F353" s="7">
        <v>44182</v>
      </c>
      <c r="G353" s="11"/>
    </row>
    <row r="354" spans="1:7">
      <c r="A354" s="4" t="s">
        <v>2885</v>
      </c>
      <c r="B354" s="4" t="s">
        <v>356</v>
      </c>
      <c r="C354" s="4" t="s">
        <v>505</v>
      </c>
      <c r="D354" s="9">
        <v>37924</v>
      </c>
      <c r="E354" s="9" t="str">
        <f t="shared" si="5"/>
        <v>30-10-2003</v>
      </c>
      <c r="F354" s="7">
        <v>44183</v>
      </c>
      <c r="G354" s="11"/>
    </row>
    <row r="355" spans="1:7">
      <c r="A355" s="4" t="s">
        <v>2886</v>
      </c>
      <c r="B355" s="4" t="s">
        <v>357</v>
      </c>
      <c r="C355" s="4" t="s">
        <v>506</v>
      </c>
      <c r="D355" s="9">
        <v>98516</v>
      </c>
      <c r="E355" s="9" t="str">
        <f t="shared" si="5"/>
        <v>21-09-2169</v>
      </c>
      <c r="F355" s="7">
        <v>44184</v>
      </c>
      <c r="G355" s="11"/>
    </row>
    <row r="356" spans="1:7">
      <c r="A356" s="4" t="s">
        <v>2887</v>
      </c>
      <c r="B356" s="4" t="s">
        <v>358</v>
      </c>
      <c r="C356" s="4" t="s">
        <v>504</v>
      </c>
      <c r="D356" s="9">
        <v>43282</v>
      </c>
      <c r="E356" s="9" t="str">
        <f t="shared" si="5"/>
        <v>01-07-2018</v>
      </c>
      <c r="F356" s="7">
        <v>44185</v>
      </c>
      <c r="G356" s="11"/>
    </row>
    <row r="357" spans="1:7">
      <c r="A357" s="4" t="s">
        <v>2888</v>
      </c>
      <c r="B357" s="4" t="s">
        <v>359</v>
      </c>
      <c r="C357" s="4" t="s">
        <v>505</v>
      </c>
      <c r="D357" s="9">
        <v>34841</v>
      </c>
      <c r="E357" s="9" t="str">
        <f t="shared" si="5"/>
        <v>22-05-1995</v>
      </c>
      <c r="F357" s="7">
        <v>44186</v>
      </c>
      <c r="G357" s="11"/>
    </row>
    <row r="358" spans="1:7">
      <c r="A358" s="4" t="s">
        <v>2889</v>
      </c>
      <c r="B358" s="4" t="s">
        <v>360</v>
      </c>
      <c r="C358" s="4" t="s">
        <v>506</v>
      </c>
      <c r="D358" s="9">
        <v>82719</v>
      </c>
      <c r="E358" s="9" t="str">
        <f t="shared" si="5"/>
        <v>22-06-2126</v>
      </c>
      <c r="F358" s="7">
        <v>44187</v>
      </c>
      <c r="G358" s="11"/>
    </row>
    <row r="359" spans="1:7">
      <c r="A359" s="4" t="s">
        <v>2890</v>
      </c>
      <c r="B359" s="4" t="s">
        <v>361</v>
      </c>
      <c r="C359" s="4" t="s">
        <v>505</v>
      </c>
      <c r="D359" s="9">
        <v>92425</v>
      </c>
      <c r="E359" s="9" t="str">
        <f t="shared" si="5"/>
        <v>17-01-2153</v>
      </c>
      <c r="F359" s="7">
        <v>44188</v>
      </c>
      <c r="G359" s="11"/>
    </row>
    <row r="360" spans="1:7">
      <c r="A360" s="4" t="s">
        <v>2891</v>
      </c>
      <c r="B360" s="4" t="s">
        <v>362</v>
      </c>
      <c r="C360" s="4" t="s">
        <v>507</v>
      </c>
      <c r="D360" s="9">
        <v>46796</v>
      </c>
      <c r="E360" s="9" t="str">
        <f t="shared" si="5"/>
        <v>13-02-2028</v>
      </c>
      <c r="F360" s="7">
        <v>44189</v>
      </c>
      <c r="G360" s="11"/>
    </row>
    <row r="361" spans="1:7">
      <c r="A361" s="4" t="s">
        <v>2892</v>
      </c>
      <c r="B361" s="4" t="s">
        <v>363</v>
      </c>
      <c r="C361" s="4" t="s">
        <v>505</v>
      </c>
      <c r="D361" s="9">
        <v>57213</v>
      </c>
      <c r="E361" s="9" t="str">
        <f t="shared" si="5"/>
        <v>21-08-2056</v>
      </c>
      <c r="F361" s="7">
        <v>44190</v>
      </c>
      <c r="G361" s="11"/>
    </row>
    <row r="362" spans="1:7">
      <c r="A362" s="4" t="s">
        <v>2893</v>
      </c>
      <c r="B362" s="4" t="s">
        <v>364</v>
      </c>
      <c r="C362" s="4" t="s">
        <v>507</v>
      </c>
      <c r="D362" s="9">
        <v>69926</v>
      </c>
      <c r="E362" s="9" t="str">
        <f t="shared" si="5"/>
        <v>12-06-2091</v>
      </c>
      <c r="F362" s="7">
        <v>44191</v>
      </c>
      <c r="G362" s="11"/>
    </row>
    <row r="363" spans="1:7">
      <c r="A363" s="4" t="s">
        <v>2894</v>
      </c>
      <c r="B363" s="4" t="s">
        <v>365</v>
      </c>
      <c r="C363" s="4" t="s">
        <v>508</v>
      </c>
      <c r="D363" s="9">
        <v>62186</v>
      </c>
      <c r="E363" s="9" t="str">
        <f t="shared" si="5"/>
        <v>03-04-2070</v>
      </c>
      <c r="F363" s="7">
        <v>44192</v>
      </c>
      <c r="G363" s="11"/>
    </row>
    <row r="364" spans="1:7">
      <c r="A364" s="4" t="s">
        <v>2895</v>
      </c>
      <c r="B364" s="4" t="s">
        <v>366</v>
      </c>
      <c r="C364" s="4" t="s">
        <v>508</v>
      </c>
      <c r="D364" s="9">
        <v>94136</v>
      </c>
      <c r="E364" s="9" t="str">
        <f t="shared" si="5"/>
        <v>24-09-2157</v>
      </c>
      <c r="F364" s="7">
        <v>44193</v>
      </c>
      <c r="G364" s="11"/>
    </row>
    <row r="365" spans="1:7">
      <c r="A365" s="4" t="s">
        <v>2896</v>
      </c>
      <c r="B365" s="4" t="s">
        <v>367</v>
      </c>
      <c r="C365" s="4" t="s">
        <v>506</v>
      </c>
      <c r="D365" s="9">
        <v>59759</v>
      </c>
      <c r="E365" s="9" t="str">
        <f t="shared" si="5"/>
        <v>11-08-2063</v>
      </c>
      <c r="F365" s="7">
        <v>44194</v>
      </c>
      <c r="G365" s="11"/>
    </row>
    <row r="366" spans="1:7">
      <c r="A366" s="4" t="s">
        <v>2897</v>
      </c>
      <c r="B366" s="4" t="s">
        <v>368</v>
      </c>
      <c r="C366" s="4" t="s">
        <v>505</v>
      </c>
      <c r="D366" s="9">
        <v>98652</v>
      </c>
      <c r="E366" s="9" t="str">
        <f t="shared" si="5"/>
        <v>04-02-2170</v>
      </c>
      <c r="F366" s="7">
        <v>44195</v>
      </c>
      <c r="G366" s="11"/>
    </row>
    <row r="367" spans="1:7">
      <c r="A367" s="4" t="s">
        <v>2898</v>
      </c>
      <c r="B367" s="4" t="s">
        <v>369</v>
      </c>
      <c r="C367" s="4" t="s">
        <v>508</v>
      </c>
      <c r="D367" s="9">
        <v>46545</v>
      </c>
      <c r="E367" s="9" t="str">
        <f t="shared" si="5"/>
        <v>07-06-2027</v>
      </c>
      <c r="F367" s="7">
        <v>44196</v>
      </c>
      <c r="G367" s="11"/>
    </row>
    <row r="368" spans="1:7">
      <c r="A368" s="4" t="s">
        <v>2899</v>
      </c>
      <c r="B368" s="4" t="s">
        <v>370</v>
      </c>
      <c r="C368" s="4" t="s">
        <v>507</v>
      </c>
      <c r="D368" s="9">
        <v>33457</v>
      </c>
      <c r="E368" s="9" t="str">
        <f t="shared" si="5"/>
        <v>07-08-1991</v>
      </c>
      <c r="F368" s="7">
        <v>44197</v>
      </c>
      <c r="G368" s="11"/>
    </row>
    <row r="369" spans="1:7">
      <c r="A369" s="4" t="s">
        <v>2900</v>
      </c>
      <c r="B369" s="4" t="s">
        <v>371</v>
      </c>
      <c r="C369" s="4" t="s">
        <v>508</v>
      </c>
      <c r="D369" s="9">
        <v>84682</v>
      </c>
      <c r="E369" s="9" t="str">
        <f t="shared" si="5"/>
        <v>06-11-2131</v>
      </c>
      <c r="F369" s="7">
        <v>44198</v>
      </c>
      <c r="G369" s="11"/>
    </row>
    <row r="370" spans="1:7">
      <c r="A370" s="4" t="s">
        <v>2901</v>
      </c>
      <c r="B370" s="4" t="s">
        <v>372</v>
      </c>
      <c r="C370" s="4" t="s">
        <v>506</v>
      </c>
      <c r="D370" s="9">
        <v>68592</v>
      </c>
      <c r="E370" s="9" t="str">
        <f t="shared" si="5"/>
        <v>17-10-2087</v>
      </c>
      <c r="F370" s="7">
        <v>44199</v>
      </c>
      <c r="G370" s="11"/>
    </row>
    <row r="371" spans="1:7">
      <c r="A371" s="4" t="s">
        <v>2902</v>
      </c>
      <c r="B371" s="4" t="s">
        <v>373</v>
      </c>
      <c r="C371" s="4" t="s">
        <v>506</v>
      </c>
      <c r="D371" s="9">
        <v>63032</v>
      </c>
      <c r="E371" s="9" t="str">
        <f t="shared" si="5"/>
        <v>27-07-2072</v>
      </c>
      <c r="F371" s="7">
        <v>44200</v>
      </c>
      <c r="G371" s="11"/>
    </row>
    <row r="372" spans="1:7">
      <c r="A372" s="4" t="s">
        <v>2903</v>
      </c>
      <c r="B372" s="4" t="s">
        <v>374</v>
      </c>
      <c r="C372" s="4" t="s">
        <v>507</v>
      </c>
      <c r="D372" s="9">
        <v>76912</v>
      </c>
      <c r="E372" s="9" t="str">
        <f t="shared" si="5"/>
        <v>29-07-2110</v>
      </c>
      <c r="F372" s="7">
        <v>44201</v>
      </c>
      <c r="G372" s="11"/>
    </row>
    <row r="373" spans="1:7">
      <c r="A373" s="4" t="s">
        <v>2904</v>
      </c>
      <c r="B373" s="4" t="s">
        <v>375</v>
      </c>
      <c r="C373" s="4" t="s">
        <v>504</v>
      </c>
      <c r="D373" s="9">
        <v>46100</v>
      </c>
      <c r="E373" s="9" t="str">
        <f t="shared" si="5"/>
        <v>19-03-2026</v>
      </c>
      <c r="F373" s="7">
        <v>44202</v>
      </c>
      <c r="G373" s="11"/>
    </row>
    <row r="374" spans="1:7">
      <c r="A374" s="4" t="s">
        <v>2905</v>
      </c>
      <c r="B374" s="4" t="s">
        <v>376</v>
      </c>
      <c r="C374" s="4" t="s">
        <v>508</v>
      </c>
      <c r="D374" s="9">
        <v>48865</v>
      </c>
      <c r="E374" s="9" t="str">
        <f t="shared" si="5"/>
        <v>13-10-2033</v>
      </c>
      <c r="F374" s="7">
        <v>44203</v>
      </c>
      <c r="G374" s="11"/>
    </row>
    <row r="375" spans="1:7">
      <c r="A375" s="4" t="s">
        <v>2906</v>
      </c>
      <c r="B375" s="4" t="s">
        <v>377</v>
      </c>
      <c r="C375" s="4" t="s">
        <v>504</v>
      </c>
      <c r="D375" s="9">
        <v>70287</v>
      </c>
      <c r="E375" s="9" t="str">
        <f t="shared" si="5"/>
        <v>07-06-2092</v>
      </c>
      <c r="F375" s="7">
        <v>44204</v>
      </c>
      <c r="G375" s="11"/>
    </row>
    <row r="376" spans="1:7">
      <c r="A376" s="4" t="s">
        <v>2907</v>
      </c>
      <c r="B376" s="4" t="s">
        <v>378</v>
      </c>
      <c r="C376" s="4" t="s">
        <v>505</v>
      </c>
      <c r="D376" s="9">
        <v>56952</v>
      </c>
      <c r="E376" s="9" t="str">
        <f t="shared" si="5"/>
        <v>04-12-2055</v>
      </c>
      <c r="F376" s="7">
        <v>44205</v>
      </c>
      <c r="G376" s="11"/>
    </row>
    <row r="377" spans="1:7">
      <c r="A377" s="4" t="s">
        <v>2908</v>
      </c>
      <c r="B377" s="4" t="s">
        <v>379</v>
      </c>
      <c r="C377" s="4" t="s">
        <v>507</v>
      </c>
      <c r="D377" s="9">
        <v>77045</v>
      </c>
      <c r="E377" s="9" t="str">
        <f t="shared" si="5"/>
        <v>09-12-2110</v>
      </c>
      <c r="F377" s="7">
        <v>44206</v>
      </c>
      <c r="G377" s="11"/>
    </row>
    <row r="378" spans="1:7">
      <c r="A378" s="4" t="s">
        <v>2909</v>
      </c>
      <c r="B378" s="4" t="s">
        <v>380</v>
      </c>
      <c r="C378" s="4" t="s">
        <v>508</v>
      </c>
      <c r="D378" s="9">
        <v>69651</v>
      </c>
      <c r="E378" s="9" t="str">
        <f t="shared" si="5"/>
        <v>10-09-2090</v>
      </c>
      <c r="F378" s="7">
        <v>44207</v>
      </c>
      <c r="G378" s="11"/>
    </row>
    <row r="379" spans="1:7">
      <c r="A379" s="4" t="s">
        <v>2910</v>
      </c>
      <c r="B379" s="4" t="s">
        <v>381</v>
      </c>
      <c r="C379" s="4" t="s">
        <v>507</v>
      </c>
      <c r="D379" s="9">
        <v>37247</v>
      </c>
      <c r="E379" s="9" t="str">
        <f t="shared" si="5"/>
        <v>22-12-2001</v>
      </c>
      <c r="F379" s="7">
        <v>44208</v>
      </c>
      <c r="G379" s="11"/>
    </row>
    <row r="380" spans="1:7">
      <c r="A380" s="4" t="s">
        <v>2911</v>
      </c>
      <c r="B380" s="4" t="s">
        <v>382</v>
      </c>
      <c r="C380" s="4" t="s">
        <v>504</v>
      </c>
      <c r="D380" s="9">
        <v>49082</v>
      </c>
      <c r="E380" s="9" t="str">
        <f t="shared" si="5"/>
        <v>18-05-2034</v>
      </c>
      <c r="F380" s="7">
        <v>44209</v>
      </c>
      <c r="G380" s="11"/>
    </row>
    <row r="381" spans="1:7">
      <c r="A381" s="4" t="s">
        <v>2912</v>
      </c>
      <c r="B381" s="4" t="s">
        <v>383</v>
      </c>
      <c r="C381" s="4" t="s">
        <v>508</v>
      </c>
      <c r="D381" s="9">
        <v>52906</v>
      </c>
      <c r="E381" s="9" t="str">
        <f t="shared" si="5"/>
        <v>05-11-2044</v>
      </c>
      <c r="F381" s="7">
        <v>44210</v>
      </c>
      <c r="G381" s="11"/>
    </row>
    <row r="382" spans="1:7">
      <c r="A382" s="4" t="s">
        <v>2913</v>
      </c>
      <c r="B382" s="4" t="s">
        <v>384</v>
      </c>
      <c r="C382" s="4" t="s">
        <v>504</v>
      </c>
      <c r="D382" s="9">
        <v>95647</v>
      </c>
      <c r="E382" s="9" t="str">
        <f t="shared" si="5"/>
        <v>13-11-2161</v>
      </c>
      <c r="F382" s="7">
        <v>44211</v>
      </c>
      <c r="G382" s="11"/>
    </row>
    <row r="383" spans="1:7">
      <c r="A383" s="4" t="s">
        <v>2914</v>
      </c>
      <c r="B383" s="4" t="s">
        <v>385</v>
      </c>
      <c r="C383" s="4" t="s">
        <v>507</v>
      </c>
      <c r="D383" s="9">
        <v>67731</v>
      </c>
      <c r="E383" s="9" t="str">
        <f t="shared" si="5"/>
        <v>08-06-2085</v>
      </c>
      <c r="F383" s="7">
        <v>44212</v>
      </c>
      <c r="G383" s="11"/>
    </row>
    <row r="384" spans="1:7">
      <c r="A384" s="4" t="s">
        <v>2915</v>
      </c>
      <c r="B384" s="4" t="s">
        <v>386</v>
      </c>
      <c r="C384" s="4" t="s">
        <v>504</v>
      </c>
      <c r="D384" s="9">
        <v>91848</v>
      </c>
      <c r="E384" s="9" t="str">
        <f t="shared" si="5"/>
        <v>20-06-2151</v>
      </c>
      <c r="F384" s="7">
        <v>44213</v>
      </c>
      <c r="G384" s="11"/>
    </row>
    <row r="385" spans="1:7">
      <c r="A385" s="4" t="s">
        <v>2916</v>
      </c>
      <c r="B385" s="4" t="s">
        <v>387</v>
      </c>
      <c r="C385" s="4" t="s">
        <v>506</v>
      </c>
      <c r="D385" s="9">
        <v>51443</v>
      </c>
      <c r="E385" s="9" t="str">
        <f t="shared" si="5"/>
        <v>03-11-2040</v>
      </c>
      <c r="F385" s="7">
        <v>44214</v>
      </c>
      <c r="G385" s="11"/>
    </row>
    <row r="386" spans="1:7">
      <c r="A386" s="4" t="s">
        <v>2917</v>
      </c>
      <c r="B386" s="4" t="s">
        <v>388</v>
      </c>
      <c r="C386" s="4" t="s">
        <v>504</v>
      </c>
      <c r="D386" s="9">
        <v>42135</v>
      </c>
      <c r="E386" s="9" t="str">
        <f t="shared" si="5"/>
        <v>11-05-2015</v>
      </c>
      <c r="F386" s="7">
        <v>44215</v>
      </c>
      <c r="G386" s="11"/>
    </row>
    <row r="387" spans="1:7">
      <c r="A387" s="4" t="s">
        <v>2918</v>
      </c>
      <c r="B387" s="4" t="s">
        <v>389</v>
      </c>
      <c r="C387" s="4" t="s">
        <v>505</v>
      </c>
      <c r="D387" s="9">
        <v>94669</v>
      </c>
      <c r="E387" s="9" t="str">
        <f t="shared" ref="E387:E450" si="6">TEXT(D387,"DD-MM-YYYY")</f>
        <v>11-03-2159</v>
      </c>
      <c r="F387" s="7">
        <v>44216</v>
      </c>
      <c r="G387" s="11"/>
    </row>
    <row r="388" spans="1:7">
      <c r="A388" s="4" t="s">
        <v>2919</v>
      </c>
      <c r="B388" s="4" t="s">
        <v>390</v>
      </c>
      <c r="C388" s="4" t="s">
        <v>507</v>
      </c>
      <c r="D388" s="9">
        <v>73375</v>
      </c>
      <c r="E388" s="9" t="str">
        <f t="shared" si="6"/>
        <v>21-11-2100</v>
      </c>
      <c r="F388" s="7">
        <v>44217</v>
      </c>
      <c r="G388" s="11"/>
    </row>
    <row r="389" spans="1:7">
      <c r="A389" s="4" t="s">
        <v>2920</v>
      </c>
      <c r="B389" s="4" t="s">
        <v>391</v>
      </c>
      <c r="C389" s="4" t="s">
        <v>506</v>
      </c>
      <c r="D389" s="9">
        <v>58783</v>
      </c>
      <c r="E389" s="9" t="str">
        <f t="shared" si="6"/>
        <v>08-12-2060</v>
      </c>
      <c r="F389" s="7">
        <v>44218</v>
      </c>
      <c r="G389" s="11"/>
    </row>
    <row r="390" spans="1:7">
      <c r="A390" s="4" t="s">
        <v>2921</v>
      </c>
      <c r="B390" s="4" t="s">
        <v>392</v>
      </c>
      <c r="C390" s="4" t="s">
        <v>506</v>
      </c>
      <c r="D390" s="9">
        <v>90678</v>
      </c>
      <c r="E390" s="9" t="str">
        <f t="shared" si="6"/>
        <v>06-04-2148</v>
      </c>
      <c r="F390" s="7">
        <v>44219</v>
      </c>
      <c r="G390" s="11"/>
    </row>
    <row r="391" spans="1:7">
      <c r="A391" s="4" t="s">
        <v>2922</v>
      </c>
      <c r="B391" s="4" t="s">
        <v>393</v>
      </c>
      <c r="C391" s="4" t="s">
        <v>505</v>
      </c>
      <c r="D391" s="9">
        <v>76681</v>
      </c>
      <c r="E391" s="9" t="str">
        <f t="shared" si="6"/>
        <v>10-12-2109</v>
      </c>
      <c r="F391" s="7">
        <v>44220</v>
      </c>
      <c r="G391" s="11"/>
    </row>
    <row r="392" spans="1:7">
      <c r="A392" s="4" t="s">
        <v>2923</v>
      </c>
      <c r="B392" s="4" t="s">
        <v>394</v>
      </c>
      <c r="C392" s="4" t="s">
        <v>507</v>
      </c>
      <c r="D392" s="9">
        <v>81298</v>
      </c>
      <c r="E392" s="9" t="str">
        <f t="shared" si="6"/>
        <v>01-08-2122</v>
      </c>
      <c r="F392" s="7">
        <v>44221</v>
      </c>
      <c r="G392" s="11"/>
    </row>
    <row r="393" spans="1:7">
      <c r="A393" s="4" t="s">
        <v>2924</v>
      </c>
      <c r="B393" s="4" t="s">
        <v>395</v>
      </c>
      <c r="C393" s="4" t="s">
        <v>505</v>
      </c>
      <c r="D393" s="9">
        <v>45918</v>
      </c>
      <c r="E393" s="9" t="str">
        <f t="shared" si="6"/>
        <v>18-09-2025</v>
      </c>
      <c r="F393" s="7">
        <v>44222</v>
      </c>
      <c r="G393" s="11"/>
    </row>
    <row r="394" spans="1:7">
      <c r="A394" s="4" t="s">
        <v>2925</v>
      </c>
      <c r="B394" s="4" t="s">
        <v>396</v>
      </c>
      <c r="C394" s="4" t="s">
        <v>505</v>
      </c>
      <c r="D394" s="9">
        <v>70980</v>
      </c>
      <c r="E394" s="9" t="str">
        <f t="shared" si="6"/>
        <v>01-05-2094</v>
      </c>
      <c r="F394" s="7">
        <v>44223</v>
      </c>
      <c r="G394" s="11"/>
    </row>
    <row r="395" spans="1:7">
      <c r="A395" s="4" t="s">
        <v>2926</v>
      </c>
      <c r="B395" s="4" t="s">
        <v>397</v>
      </c>
      <c r="C395" s="4" t="s">
        <v>505</v>
      </c>
      <c r="D395" s="9">
        <v>63362</v>
      </c>
      <c r="E395" s="9" t="str">
        <f t="shared" si="6"/>
        <v>22-06-2073</v>
      </c>
      <c r="F395" s="7">
        <v>44224</v>
      </c>
      <c r="G395" s="11"/>
    </row>
    <row r="396" spans="1:7">
      <c r="A396" s="4" t="s">
        <v>2927</v>
      </c>
      <c r="B396" s="4" t="s">
        <v>398</v>
      </c>
      <c r="C396" s="4" t="s">
        <v>505</v>
      </c>
      <c r="D396" s="9">
        <v>94587</v>
      </c>
      <c r="E396" s="9" t="str">
        <f t="shared" si="6"/>
        <v>19-12-2158</v>
      </c>
      <c r="F396" s="7">
        <v>44225</v>
      </c>
      <c r="G396" s="11"/>
    </row>
    <row r="397" spans="1:7">
      <c r="A397" s="4" t="s">
        <v>2928</v>
      </c>
      <c r="B397" s="4" t="s">
        <v>399</v>
      </c>
      <c r="C397" s="4" t="s">
        <v>505</v>
      </c>
      <c r="D397" s="9">
        <v>62011</v>
      </c>
      <c r="E397" s="9" t="str">
        <f t="shared" si="6"/>
        <v>10-10-2069</v>
      </c>
      <c r="F397" s="7">
        <v>44226</v>
      </c>
      <c r="G397" s="11"/>
    </row>
    <row r="398" spans="1:7">
      <c r="A398" s="4" t="s">
        <v>2929</v>
      </c>
      <c r="B398" s="4" t="s">
        <v>400</v>
      </c>
      <c r="C398" s="4" t="s">
        <v>506</v>
      </c>
      <c r="D398" s="9">
        <v>45819</v>
      </c>
      <c r="E398" s="9" t="str">
        <f t="shared" si="6"/>
        <v>11-06-2025</v>
      </c>
      <c r="F398" s="7">
        <v>44227</v>
      </c>
      <c r="G398" s="11"/>
    </row>
    <row r="399" spans="1:7">
      <c r="A399" s="4" t="s">
        <v>2930</v>
      </c>
      <c r="B399" s="4" t="s">
        <v>401</v>
      </c>
      <c r="C399" s="4" t="s">
        <v>505</v>
      </c>
      <c r="D399" s="9">
        <v>92627</v>
      </c>
      <c r="E399" s="9" t="str">
        <f t="shared" si="6"/>
        <v>07-08-2153</v>
      </c>
      <c r="F399" s="7">
        <v>44228</v>
      </c>
      <c r="G399" s="11"/>
    </row>
    <row r="400" spans="1:7">
      <c r="A400" s="4" t="s">
        <v>2931</v>
      </c>
      <c r="B400" s="4" t="s">
        <v>402</v>
      </c>
      <c r="C400" s="4" t="s">
        <v>508</v>
      </c>
      <c r="D400" s="9">
        <v>69697</v>
      </c>
      <c r="E400" s="9" t="str">
        <f t="shared" si="6"/>
        <v>26-10-2090</v>
      </c>
      <c r="F400" s="7">
        <v>44229</v>
      </c>
      <c r="G400" s="11"/>
    </row>
    <row r="401" spans="1:7">
      <c r="A401" s="4" t="s">
        <v>2932</v>
      </c>
      <c r="B401" s="4" t="s">
        <v>403</v>
      </c>
      <c r="C401" s="4" t="s">
        <v>508</v>
      </c>
      <c r="D401" s="9">
        <v>70592</v>
      </c>
      <c r="E401" s="9" t="str">
        <f t="shared" si="6"/>
        <v>08-04-2093</v>
      </c>
      <c r="F401" s="7">
        <v>44230</v>
      </c>
      <c r="G401" s="11"/>
    </row>
    <row r="402" spans="1:7">
      <c r="A402" s="4" t="s">
        <v>2933</v>
      </c>
      <c r="B402" s="4" t="s">
        <v>404</v>
      </c>
      <c r="C402" s="4" t="s">
        <v>504</v>
      </c>
      <c r="D402" s="9">
        <v>43847</v>
      </c>
      <c r="E402" s="9" t="str">
        <f t="shared" si="6"/>
        <v>17-01-2020</v>
      </c>
      <c r="F402" s="7">
        <v>44231</v>
      </c>
      <c r="G402" s="11"/>
    </row>
    <row r="403" spans="1:7">
      <c r="A403" s="4" t="s">
        <v>2934</v>
      </c>
      <c r="B403" s="4" t="s">
        <v>405</v>
      </c>
      <c r="C403" s="4" t="s">
        <v>508</v>
      </c>
      <c r="D403" s="9">
        <v>72519</v>
      </c>
      <c r="E403" s="9" t="str">
        <f t="shared" si="6"/>
        <v>18-07-2098</v>
      </c>
      <c r="F403" s="7">
        <v>44232</v>
      </c>
      <c r="G403" s="11"/>
    </row>
    <row r="404" spans="1:7">
      <c r="A404" s="4" t="s">
        <v>2935</v>
      </c>
      <c r="B404" s="4" t="s">
        <v>406</v>
      </c>
      <c r="C404" s="4" t="s">
        <v>504</v>
      </c>
      <c r="D404" s="9">
        <v>58666</v>
      </c>
      <c r="E404" s="9" t="str">
        <f t="shared" si="6"/>
        <v>13-08-2060</v>
      </c>
      <c r="F404" s="7">
        <v>44233</v>
      </c>
      <c r="G404" s="11"/>
    </row>
    <row r="405" spans="1:7">
      <c r="A405" s="4" t="s">
        <v>2936</v>
      </c>
      <c r="B405" s="4" t="s">
        <v>407</v>
      </c>
      <c r="C405" s="4" t="s">
        <v>506</v>
      </c>
      <c r="D405" s="9">
        <v>55871</v>
      </c>
      <c r="E405" s="9" t="str">
        <f t="shared" si="6"/>
        <v>18-12-2052</v>
      </c>
      <c r="F405" s="7">
        <v>44234</v>
      </c>
      <c r="G405" s="11"/>
    </row>
    <row r="406" spans="1:7">
      <c r="A406" s="4" t="s">
        <v>2937</v>
      </c>
      <c r="B406" s="4" t="s">
        <v>408</v>
      </c>
      <c r="C406" s="4" t="s">
        <v>504</v>
      </c>
      <c r="D406" s="9">
        <v>58546</v>
      </c>
      <c r="E406" s="9" t="str">
        <f t="shared" si="6"/>
        <v>15-04-2060</v>
      </c>
      <c r="F406" s="7">
        <v>44235</v>
      </c>
      <c r="G406" s="11"/>
    </row>
    <row r="407" spans="1:7">
      <c r="A407" s="4" t="s">
        <v>2938</v>
      </c>
      <c r="B407" s="4" t="s">
        <v>409</v>
      </c>
      <c r="C407" s="4" t="s">
        <v>507</v>
      </c>
      <c r="D407" s="9">
        <v>39470</v>
      </c>
      <c r="E407" s="9" t="str">
        <f t="shared" si="6"/>
        <v>23-01-2008</v>
      </c>
      <c r="F407" s="7">
        <v>44236</v>
      </c>
      <c r="G407" s="11"/>
    </row>
    <row r="408" spans="1:7">
      <c r="A408" s="4" t="s">
        <v>2939</v>
      </c>
      <c r="B408" s="4" t="s">
        <v>410</v>
      </c>
      <c r="C408" s="4" t="s">
        <v>506</v>
      </c>
      <c r="D408" s="9">
        <v>43485</v>
      </c>
      <c r="E408" s="9" t="str">
        <f t="shared" si="6"/>
        <v>20-01-2019</v>
      </c>
      <c r="F408" s="7">
        <v>44237</v>
      </c>
      <c r="G408" s="11"/>
    </row>
    <row r="409" spans="1:7">
      <c r="A409" s="4" t="s">
        <v>2940</v>
      </c>
      <c r="B409" s="4" t="s">
        <v>411</v>
      </c>
      <c r="C409" s="4" t="s">
        <v>504</v>
      </c>
      <c r="D409" s="9">
        <v>52667</v>
      </c>
      <c r="E409" s="9" t="str">
        <f t="shared" si="6"/>
        <v>11-03-2044</v>
      </c>
      <c r="F409" s="7">
        <v>44238</v>
      </c>
      <c r="G409" s="11"/>
    </row>
    <row r="410" spans="1:7">
      <c r="A410" s="4" t="s">
        <v>2941</v>
      </c>
      <c r="B410" s="4" t="s">
        <v>412</v>
      </c>
      <c r="C410" s="4" t="s">
        <v>507</v>
      </c>
      <c r="D410" s="9">
        <v>32818</v>
      </c>
      <c r="E410" s="9" t="str">
        <f t="shared" si="6"/>
        <v>06-11-1989</v>
      </c>
      <c r="F410" s="7">
        <v>44239</v>
      </c>
      <c r="G410" s="11"/>
    </row>
    <row r="411" spans="1:7">
      <c r="A411" s="4" t="s">
        <v>2942</v>
      </c>
      <c r="B411" s="4" t="s">
        <v>413</v>
      </c>
      <c r="C411" s="4" t="s">
        <v>504</v>
      </c>
      <c r="D411" s="9">
        <v>63405</v>
      </c>
      <c r="E411" s="9" t="str">
        <f t="shared" si="6"/>
        <v>04-08-2073</v>
      </c>
      <c r="F411" s="7">
        <v>44240</v>
      </c>
      <c r="G411" s="11"/>
    </row>
    <row r="412" spans="1:7">
      <c r="A412" s="4" t="s">
        <v>2943</v>
      </c>
      <c r="B412" s="4" t="s">
        <v>414</v>
      </c>
      <c r="C412" s="4" t="s">
        <v>505</v>
      </c>
      <c r="D412" s="9">
        <v>55341</v>
      </c>
      <c r="E412" s="9" t="str">
        <f t="shared" si="6"/>
        <v>07-07-2051</v>
      </c>
      <c r="F412" s="7">
        <v>44241</v>
      </c>
      <c r="G412" s="11"/>
    </row>
    <row r="413" spans="1:7">
      <c r="A413" s="4" t="s">
        <v>2944</v>
      </c>
      <c r="B413" s="4" t="s">
        <v>415</v>
      </c>
      <c r="C413" s="4" t="s">
        <v>508</v>
      </c>
      <c r="D413" s="9">
        <v>31269</v>
      </c>
      <c r="E413" s="9" t="str">
        <f t="shared" si="6"/>
        <v>10-08-1985</v>
      </c>
      <c r="F413" s="7">
        <v>44242</v>
      </c>
      <c r="G413" s="11"/>
    </row>
    <row r="414" spans="1:7">
      <c r="A414" s="4" t="s">
        <v>2945</v>
      </c>
      <c r="B414" s="4" t="s">
        <v>416</v>
      </c>
      <c r="C414" s="4" t="s">
        <v>504</v>
      </c>
      <c r="D414" s="9">
        <v>77976</v>
      </c>
      <c r="E414" s="9" t="str">
        <f t="shared" si="6"/>
        <v>27-06-2113</v>
      </c>
      <c r="F414" s="7">
        <v>44243</v>
      </c>
      <c r="G414" s="11"/>
    </row>
    <row r="415" spans="1:7">
      <c r="A415" s="4" t="s">
        <v>2946</v>
      </c>
      <c r="B415" s="4" t="s">
        <v>417</v>
      </c>
      <c r="C415" s="4" t="s">
        <v>508</v>
      </c>
      <c r="D415" s="9">
        <v>32434</v>
      </c>
      <c r="E415" s="9" t="str">
        <f t="shared" si="6"/>
        <v>18-10-1988</v>
      </c>
      <c r="F415" s="7">
        <v>44244</v>
      </c>
      <c r="G415" s="11"/>
    </row>
    <row r="416" spans="1:7">
      <c r="A416" s="4" t="s">
        <v>2947</v>
      </c>
      <c r="B416" s="4" t="s">
        <v>418</v>
      </c>
      <c r="C416" s="4" t="s">
        <v>507</v>
      </c>
      <c r="D416" s="9">
        <v>80343</v>
      </c>
      <c r="E416" s="9" t="str">
        <f t="shared" si="6"/>
        <v>20-12-2119</v>
      </c>
      <c r="F416" s="7">
        <v>44245</v>
      </c>
      <c r="G416" s="11"/>
    </row>
    <row r="417" spans="1:7">
      <c r="A417" s="4" t="s">
        <v>2948</v>
      </c>
      <c r="B417" s="4" t="s">
        <v>419</v>
      </c>
      <c r="C417" s="4" t="s">
        <v>504</v>
      </c>
      <c r="D417" s="9">
        <v>61228</v>
      </c>
      <c r="E417" s="9" t="str">
        <f t="shared" si="6"/>
        <v>19-08-2067</v>
      </c>
      <c r="F417" s="7">
        <v>44246</v>
      </c>
      <c r="G417" s="11"/>
    </row>
    <row r="418" spans="1:7">
      <c r="A418" s="4" t="s">
        <v>2949</v>
      </c>
      <c r="B418" s="4" t="s">
        <v>420</v>
      </c>
      <c r="C418" s="4" t="s">
        <v>504</v>
      </c>
      <c r="D418" s="9">
        <v>99310</v>
      </c>
      <c r="E418" s="9" t="str">
        <f t="shared" si="6"/>
        <v>24-11-2171</v>
      </c>
      <c r="F418" s="7">
        <v>44247</v>
      </c>
      <c r="G418" s="11"/>
    </row>
    <row r="419" spans="1:7">
      <c r="A419" s="4" t="s">
        <v>2950</v>
      </c>
      <c r="B419" s="4" t="s">
        <v>421</v>
      </c>
      <c r="C419" s="4" t="s">
        <v>507</v>
      </c>
      <c r="D419" s="9">
        <v>73889</v>
      </c>
      <c r="E419" s="9" t="str">
        <f t="shared" si="6"/>
        <v>19-04-2102</v>
      </c>
      <c r="F419" s="7">
        <v>44248</v>
      </c>
      <c r="G419" s="11"/>
    </row>
    <row r="420" spans="1:7">
      <c r="A420" s="4" t="s">
        <v>2951</v>
      </c>
      <c r="B420" s="4" t="s">
        <v>422</v>
      </c>
      <c r="C420" s="4" t="s">
        <v>507</v>
      </c>
      <c r="D420" s="9">
        <v>48338</v>
      </c>
      <c r="E420" s="9" t="str">
        <f t="shared" si="6"/>
        <v>04-05-2032</v>
      </c>
      <c r="F420" s="7">
        <v>44249</v>
      </c>
      <c r="G420" s="11"/>
    </row>
    <row r="421" spans="1:7">
      <c r="A421" s="4" t="s">
        <v>2952</v>
      </c>
      <c r="B421" s="4" t="s">
        <v>423</v>
      </c>
      <c r="C421" s="4" t="s">
        <v>505</v>
      </c>
      <c r="D421" s="9">
        <v>34490</v>
      </c>
      <c r="E421" s="9" t="str">
        <f t="shared" si="6"/>
        <v>05-06-1994</v>
      </c>
      <c r="F421" s="7">
        <v>44250</v>
      </c>
      <c r="G421" s="11"/>
    </row>
    <row r="422" spans="1:7">
      <c r="A422" s="4" t="s">
        <v>2953</v>
      </c>
      <c r="B422" s="4" t="s">
        <v>424</v>
      </c>
      <c r="C422" s="4" t="s">
        <v>508</v>
      </c>
      <c r="D422" s="9">
        <v>60408</v>
      </c>
      <c r="E422" s="9" t="str">
        <f t="shared" si="6"/>
        <v>21-05-2065</v>
      </c>
      <c r="F422" s="7">
        <v>44251</v>
      </c>
      <c r="G422" s="11"/>
    </row>
    <row r="423" spans="1:7">
      <c r="A423" s="4" t="s">
        <v>2954</v>
      </c>
      <c r="B423" s="4" t="s">
        <v>425</v>
      </c>
      <c r="C423" s="4" t="s">
        <v>507</v>
      </c>
      <c r="D423" s="9">
        <v>37306</v>
      </c>
      <c r="E423" s="9" t="str">
        <f t="shared" si="6"/>
        <v>19-02-2002</v>
      </c>
      <c r="F423" s="7">
        <v>44252</v>
      </c>
      <c r="G423" s="11"/>
    </row>
    <row r="424" spans="1:7">
      <c r="A424" s="4" t="s">
        <v>2955</v>
      </c>
      <c r="B424" s="4" t="s">
        <v>426</v>
      </c>
      <c r="C424" s="4" t="s">
        <v>505</v>
      </c>
      <c r="D424" s="9">
        <v>81432</v>
      </c>
      <c r="E424" s="9" t="str">
        <f t="shared" si="6"/>
        <v>13-12-2122</v>
      </c>
      <c r="F424" s="7">
        <v>44253</v>
      </c>
      <c r="G424" s="11"/>
    </row>
    <row r="425" spans="1:7">
      <c r="A425" s="4" t="s">
        <v>2956</v>
      </c>
      <c r="B425" s="4" t="s">
        <v>427</v>
      </c>
      <c r="C425" s="4" t="s">
        <v>505</v>
      </c>
      <c r="D425" s="9">
        <v>97925</v>
      </c>
      <c r="E425" s="9" t="str">
        <f t="shared" si="6"/>
        <v>08-02-2168</v>
      </c>
      <c r="F425" s="7">
        <v>44254</v>
      </c>
      <c r="G425" s="11"/>
    </row>
    <row r="426" spans="1:7">
      <c r="A426" s="4" t="s">
        <v>2957</v>
      </c>
      <c r="B426" s="4" t="s">
        <v>428</v>
      </c>
      <c r="C426" s="4" t="s">
        <v>507</v>
      </c>
      <c r="D426" s="9">
        <v>40451</v>
      </c>
      <c r="E426" s="9" t="str">
        <f t="shared" si="6"/>
        <v>30-09-2010</v>
      </c>
      <c r="F426" s="7">
        <v>44255</v>
      </c>
      <c r="G426" s="11"/>
    </row>
    <row r="427" spans="1:7">
      <c r="A427" s="4" t="s">
        <v>2958</v>
      </c>
      <c r="B427" s="4" t="s">
        <v>429</v>
      </c>
      <c r="C427" s="4" t="s">
        <v>506</v>
      </c>
      <c r="D427" s="9">
        <v>95723</v>
      </c>
      <c r="E427" s="9" t="str">
        <f t="shared" si="6"/>
        <v>28-01-2162</v>
      </c>
      <c r="F427" s="7">
        <v>44256</v>
      </c>
      <c r="G427" s="11"/>
    </row>
    <row r="428" spans="1:7">
      <c r="A428" s="4" t="s">
        <v>2959</v>
      </c>
      <c r="B428" s="4" t="s">
        <v>430</v>
      </c>
      <c r="C428" s="4" t="s">
        <v>508</v>
      </c>
      <c r="D428" s="9">
        <v>51585</v>
      </c>
      <c r="E428" s="9" t="str">
        <f t="shared" si="6"/>
        <v>25-03-2041</v>
      </c>
      <c r="F428" s="7">
        <v>44257</v>
      </c>
      <c r="G428" s="11"/>
    </row>
    <row r="429" spans="1:7">
      <c r="A429" s="4" t="s">
        <v>2960</v>
      </c>
      <c r="B429" s="4" t="s">
        <v>431</v>
      </c>
      <c r="C429" s="4" t="s">
        <v>507</v>
      </c>
      <c r="D429" s="9">
        <v>97096</v>
      </c>
      <c r="E429" s="9" t="str">
        <f t="shared" si="6"/>
        <v>01-11-2165</v>
      </c>
      <c r="F429" s="7">
        <v>44258</v>
      </c>
      <c r="G429" s="11"/>
    </row>
    <row r="430" spans="1:7">
      <c r="A430" s="4" t="s">
        <v>2961</v>
      </c>
      <c r="B430" s="4" t="s">
        <v>432</v>
      </c>
      <c r="C430" s="4" t="s">
        <v>504</v>
      </c>
      <c r="D430" s="9">
        <v>98691</v>
      </c>
      <c r="E430" s="9" t="str">
        <f t="shared" si="6"/>
        <v>15-03-2170</v>
      </c>
      <c r="F430" s="7">
        <v>44259</v>
      </c>
      <c r="G430" s="11"/>
    </row>
    <row r="431" spans="1:7">
      <c r="A431" s="4" t="s">
        <v>2962</v>
      </c>
      <c r="B431" s="4" t="s">
        <v>433</v>
      </c>
      <c r="C431" s="4" t="s">
        <v>506</v>
      </c>
      <c r="D431" s="9">
        <v>79788</v>
      </c>
      <c r="E431" s="9" t="str">
        <f t="shared" si="6"/>
        <v>13-06-2118</v>
      </c>
      <c r="F431" s="7">
        <v>44260</v>
      </c>
      <c r="G431" s="11"/>
    </row>
    <row r="432" spans="1:7">
      <c r="A432" s="4" t="s">
        <v>2963</v>
      </c>
      <c r="B432" s="4" t="s">
        <v>434</v>
      </c>
      <c r="C432" s="4" t="s">
        <v>504</v>
      </c>
      <c r="D432" s="9">
        <v>39981</v>
      </c>
      <c r="E432" s="9" t="str">
        <f t="shared" si="6"/>
        <v>17-06-2009</v>
      </c>
      <c r="F432" s="7">
        <v>44261</v>
      </c>
      <c r="G432" s="11"/>
    </row>
    <row r="433" spans="1:7">
      <c r="A433" s="4" t="s">
        <v>2964</v>
      </c>
      <c r="B433" s="4" t="s">
        <v>435</v>
      </c>
      <c r="C433" s="4" t="s">
        <v>507</v>
      </c>
      <c r="D433" s="9">
        <v>54302</v>
      </c>
      <c r="E433" s="9" t="str">
        <f t="shared" si="6"/>
        <v>01-09-2048</v>
      </c>
      <c r="F433" s="7">
        <v>44262</v>
      </c>
      <c r="G433" s="11"/>
    </row>
    <row r="434" spans="1:7">
      <c r="A434" s="4" t="s">
        <v>2965</v>
      </c>
      <c r="B434" s="4" t="s">
        <v>436</v>
      </c>
      <c r="C434" s="4" t="s">
        <v>505</v>
      </c>
      <c r="D434" s="9">
        <v>41906</v>
      </c>
      <c r="E434" s="9" t="str">
        <f t="shared" si="6"/>
        <v>24-09-2014</v>
      </c>
      <c r="F434" s="7">
        <v>44263</v>
      </c>
      <c r="G434" s="11"/>
    </row>
    <row r="435" spans="1:7">
      <c r="A435" s="4" t="s">
        <v>2966</v>
      </c>
      <c r="B435" s="4" t="s">
        <v>437</v>
      </c>
      <c r="C435" s="4" t="s">
        <v>507</v>
      </c>
      <c r="D435" s="9">
        <v>86661</v>
      </c>
      <c r="E435" s="9" t="str">
        <f t="shared" si="6"/>
        <v>07-04-2137</v>
      </c>
      <c r="F435" s="7">
        <v>44264</v>
      </c>
      <c r="G435" s="11"/>
    </row>
    <row r="436" spans="1:7">
      <c r="A436" s="4" t="s">
        <v>2967</v>
      </c>
      <c r="B436" s="4" t="s">
        <v>438</v>
      </c>
      <c r="C436" s="4" t="s">
        <v>505</v>
      </c>
      <c r="D436" s="9">
        <v>42867</v>
      </c>
      <c r="E436" s="9" t="str">
        <f t="shared" si="6"/>
        <v>12-05-2017</v>
      </c>
      <c r="F436" s="7">
        <v>44265</v>
      </c>
      <c r="G436" s="11"/>
    </row>
    <row r="437" spans="1:7">
      <c r="A437" s="4" t="s">
        <v>2968</v>
      </c>
      <c r="B437" s="4" t="s">
        <v>439</v>
      </c>
      <c r="C437" s="4" t="s">
        <v>504</v>
      </c>
      <c r="D437" s="9">
        <v>92619</v>
      </c>
      <c r="E437" s="9" t="str">
        <f t="shared" si="6"/>
        <v>30-07-2153</v>
      </c>
      <c r="F437" s="7">
        <v>44266</v>
      </c>
      <c r="G437" s="11"/>
    </row>
    <row r="438" spans="1:7">
      <c r="A438" s="4" t="s">
        <v>2969</v>
      </c>
      <c r="B438" s="4" t="s">
        <v>440</v>
      </c>
      <c r="C438" s="4" t="s">
        <v>507</v>
      </c>
      <c r="D438" s="9">
        <v>40086</v>
      </c>
      <c r="E438" s="9" t="str">
        <f t="shared" si="6"/>
        <v>30-09-2009</v>
      </c>
      <c r="F438" s="7">
        <v>44267</v>
      </c>
      <c r="G438" s="11"/>
    </row>
    <row r="439" spans="1:7">
      <c r="A439" s="4" t="s">
        <v>2970</v>
      </c>
      <c r="B439" s="4" t="s">
        <v>441</v>
      </c>
      <c r="C439" s="4" t="s">
        <v>504</v>
      </c>
      <c r="D439" s="9">
        <v>69251</v>
      </c>
      <c r="E439" s="9" t="str">
        <f t="shared" si="6"/>
        <v>06-08-2089</v>
      </c>
      <c r="F439" s="7">
        <v>44268</v>
      </c>
      <c r="G439" s="11"/>
    </row>
    <row r="440" spans="1:7">
      <c r="A440" s="4" t="s">
        <v>2971</v>
      </c>
      <c r="B440" s="4" t="s">
        <v>442</v>
      </c>
      <c r="C440" s="4" t="s">
        <v>504</v>
      </c>
      <c r="D440" s="9">
        <v>59750</v>
      </c>
      <c r="E440" s="9" t="str">
        <f t="shared" si="6"/>
        <v>02-08-2063</v>
      </c>
      <c r="F440" s="7">
        <v>44269</v>
      </c>
      <c r="G440" s="11"/>
    </row>
    <row r="441" spans="1:7">
      <c r="A441" s="4" t="s">
        <v>2972</v>
      </c>
      <c r="B441" s="4" t="s">
        <v>443</v>
      </c>
      <c r="C441" s="4" t="s">
        <v>508</v>
      </c>
      <c r="D441" s="9">
        <v>68573</v>
      </c>
      <c r="E441" s="9" t="str">
        <f t="shared" si="6"/>
        <v>28-09-2087</v>
      </c>
      <c r="F441" s="7">
        <v>44270</v>
      </c>
      <c r="G441" s="11"/>
    </row>
    <row r="442" spans="1:7">
      <c r="A442" s="4" t="s">
        <v>2973</v>
      </c>
      <c r="B442" s="4" t="s">
        <v>444</v>
      </c>
      <c r="C442" s="4" t="s">
        <v>508</v>
      </c>
      <c r="D442" s="9">
        <v>59151</v>
      </c>
      <c r="E442" s="9" t="str">
        <f t="shared" si="6"/>
        <v>11-12-2061</v>
      </c>
      <c r="F442" s="7">
        <v>44271</v>
      </c>
      <c r="G442" s="11"/>
    </row>
    <row r="443" spans="1:7">
      <c r="A443" s="4" t="s">
        <v>2974</v>
      </c>
      <c r="B443" s="4" t="s">
        <v>445</v>
      </c>
      <c r="C443" s="4" t="s">
        <v>506</v>
      </c>
      <c r="D443" s="9">
        <v>37982</v>
      </c>
      <c r="E443" s="9" t="str">
        <f t="shared" si="6"/>
        <v>27-12-2003</v>
      </c>
      <c r="F443" s="7">
        <v>44272</v>
      </c>
      <c r="G443" s="11"/>
    </row>
    <row r="444" spans="1:7">
      <c r="A444" s="4" t="s">
        <v>2975</v>
      </c>
      <c r="B444" s="4" t="s">
        <v>446</v>
      </c>
      <c r="C444" s="4" t="s">
        <v>505</v>
      </c>
      <c r="D444" s="9">
        <v>80834</v>
      </c>
      <c r="E444" s="9" t="str">
        <f t="shared" si="6"/>
        <v>24-04-2121</v>
      </c>
      <c r="F444" s="7">
        <v>44273</v>
      </c>
      <c r="G444" s="11"/>
    </row>
    <row r="445" spans="1:7">
      <c r="A445" s="4" t="s">
        <v>2976</v>
      </c>
      <c r="B445" s="4" t="s">
        <v>447</v>
      </c>
      <c r="C445" s="4" t="s">
        <v>506</v>
      </c>
      <c r="D445" s="9">
        <v>87672</v>
      </c>
      <c r="E445" s="9" t="str">
        <f t="shared" si="6"/>
        <v>13-01-2140</v>
      </c>
      <c r="F445" s="7">
        <v>44274</v>
      </c>
      <c r="G445" s="11"/>
    </row>
    <row r="446" spans="1:7">
      <c r="A446" s="4" t="s">
        <v>2977</v>
      </c>
      <c r="B446" s="4" t="s">
        <v>448</v>
      </c>
      <c r="C446" s="4" t="s">
        <v>505</v>
      </c>
      <c r="D446" s="9">
        <v>35779</v>
      </c>
      <c r="E446" s="9" t="str">
        <f t="shared" si="6"/>
        <v>15-12-1997</v>
      </c>
      <c r="F446" s="7">
        <v>44275</v>
      </c>
      <c r="G446" s="11"/>
    </row>
    <row r="447" spans="1:7">
      <c r="A447" s="4" t="s">
        <v>2978</v>
      </c>
      <c r="B447" s="4" t="s">
        <v>449</v>
      </c>
      <c r="C447" s="4" t="s">
        <v>506</v>
      </c>
      <c r="D447" s="9">
        <v>79972</v>
      </c>
      <c r="E447" s="9" t="str">
        <f t="shared" si="6"/>
        <v>14-12-2118</v>
      </c>
      <c r="F447" s="7">
        <v>44276</v>
      </c>
      <c r="G447" s="11"/>
    </row>
    <row r="448" spans="1:7">
      <c r="A448" s="4" t="s">
        <v>2979</v>
      </c>
      <c r="B448" s="4" t="s">
        <v>450</v>
      </c>
      <c r="C448" s="4" t="s">
        <v>508</v>
      </c>
      <c r="D448" s="9">
        <v>86578</v>
      </c>
      <c r="E448" s="9" t="str">
        <f t="shared" si="6"/>
        <v>14-01-2137</v>
      </c>
      <c r="F448" s="7">
        <v>44277</v>
      </c>
      <c r="G448" s="11"/>
    </row>
    <row r="449" spans="1:7">
      <c r="A449" s="4" t="s">
        <v>2980</v>
      </c>
      <c r="B449" s="4" t="s">
        <v>451</v>
      </c>
      <c r="C449" s="4" t="s">
        <v>505</v>
      </c>
      <c r="D449" s="9">
        <v>48744</v>
      </c>
      <c r="E449" s="9" t="str">
        <f t="shared" si="6"/>
        <v>14-06-2033</v>
      </c>
      <c r="F449" s="7">
        <v>44278</v>
      </c>
      <c r="G449" s="11"/>
    </row>
    <row r="450" spans="1:7">
      <c r="A450" s="4" t="s">
        <v>2981</v>
      </c>
      <c r="B450" s="4" t="s">
        <v>452</v>
      </c>
      <c r="C450" s="4" t="s">
        <v>507</v>
      </c>
      <c r="D450" s="9">
        <v>78409</v>
      </c>
      <c r="E450" s="9" t="str">
        <f t="shared" si="6"/>
        <v>03-09-2114</v>
      </c>
      <c r="F450" s="7">
        <v>44279</v>
      </c>
      <c r="G450" s="11"/>
    </row>
    <row r="451" spans="1:7">
      <c r="A451" s="4" t="s">
        <v>2982</v>
      </c>
      <c r="B451" s="4" t="s">
        <v>453</v>
      </c>
      <c r="C451" s="4" t="s">
        <v>504</v>
      </c>
      <c r="D451" s="9">
        <v>47211</v>
      </c>
      <c r="E451" s="9" t="str">
        <f t="shared" ref="E451:E501" si="7">TEXT(D451,"DD-MM-YYYY")</f>
        <v>03-04-2029</v>
      </c>
      <c r="F451" s="7">
        <v>44280</v>
      </c>
      <c r="G451" s="11"/>
    </row>
    <row r="452" spans="1:7">
      <c r="A452" s="4" t="s">
        <v>2983</v>
      </c>
      <c r="B452" s="4" t="s">
        <v>454</v>
      </c>
      <c r="C452" s="4" t="s">
        <v>504</v>
      </c>
      <c r="D452" s="9">
        <v>85497</v>
      </c>
      <c r="E452" s="9" t="str">
        <f t="shared" si="7"/>
        <v>29-01-2134</v>
      </c>
      <c r="F452" s="7">
        <v>44281</v>
      </c>
      <c r="G452" s="11"/>
    </row>
    <row r="453" spans="1:7">
      <c r="A453" s="4" t="s">
        <v>2984</v>
      </c>
      <c r="B453" s="4" t="s">
        <v>455</v>
      </c>
      <c r="C453" s="4" t="s">
        <v>507</v>
      </c>
      <c r="D453" s="9">
        <v>44735</v>
      </c>
      <c r="E453" s="9" t="str">
        <f t="shared" si="7"/>
        <v>23-06-2022</v>
      </c>
      <c r="F453" s="7">
        <v>44282</v>
      </c>
      <c r="G453" s="11"/>
    </row>
    <row r="454" spans="1:7">
      <c r="A454" s="4" t="s">
        <v>2985</v>
      </c>
      <c r="B454" s="4" t="s">
        <v>456</v>
      </c>
      <c r="C454" s="4" t="s">
        <v>505</v>
      </c>
      <c r="D454" s="9">
        <v>50886</v>
      </c>
      <c r="E454" s="9" t="str">
        <f t="shared" si="7"/>
        <v>26-04-2039</v>
      </c>
      <c r="F454" s="7">
        <v>44283</v>
      </c>
      <c r="G454" s="11"/>
    </row>
    <row r="455" spans="1:7">
      <c r="A455" s="4" t="s">
        <v>2986</v>
      </c>
      <c r="B455" s="4" t="s">
        <v>457</v>
      </c>
      <c r="C455" s="4" t="s">
        <v>507</v>
      </c>
      <c r="D455" s="9">
        <v>92147</v>
      </c>
      <c r="E455" s="9" t="str">
        <f t="shared" si="7"/>
        <v>14-04-2152</v>
      </c>
      <c r="F455" s="7">
        <v>44284</v>
      </c>
      <c r="G455" s="11"/>
    </row>
    <row r="456" spans="1:7">
      <c r="A456" s="4" t="s">
        <v>2987</v>
      </c>
      <c r="B456" s="4" t="s">
        <v>458</v>
      </c>
      <c r="C456" s="4" t="s">
        <v>506</v>
      </c>
      <c r="D456" s="9">
        <v>48965</v>
      </c>
      <c r="E456" s="9" t="str">
        <f t="shared" si="7"/>
        <v>21-01-2034</v>
      </c>
      <c r="F456" s="7">
        <v>44285</v>
      </c>
      <c r="G456" s="11"/>
    </row>
    <row r="457" spans="1:7">
      <c r="A457" s="4" t="s">
        <v>2988</v>
      </c>
      <c r="B457" s="4" t="s">
        <v>459</v>
      </c>
      <c r="C457" s="4" t="s">
        <v>504</v>
      </c>
      <c r="D457" s="9">
        <v>57751</v>
      </c>
      <c r="E457" s="9" t="str">
        <f t="shared" si="7"/>
        <v>10-02-2058</v>
      </c>
      <c r="F457" s="7">
        <v>44286</v>
      </c>
      <c r="G457" s="11"/>
    </row>
    <row r="458" spans="1:7">
      <c r="A458" s="4" t="s">
        <v>2989</v>
      </c>
      <c r="B458" s="4" t="s">
        <v>460</v>
      </c>
      <c r="C458" s="4" t="s">
        <v>504</v>
      </c>
      <c r="D458" s="9">
        <v>36489</v>
      </c>
      <c r="E458" s="9" t="str">
        <f t="shared" si="7"/>
        <v>25-11-1999</v>
      </c>
      <c r="F458" s="7">
        <v>44287</v>
      </c>
      <c r="G458" s="11"/>
    </row>
    <row r="459" spans="1:7">
      <c r="A459" s="4" t="s">
        <v>2990</v>
      </c>
      <c r="B459" s="4" t="s">
        <v>461</v>
      </c>
      <c r="C459" s="4" t="s">
        <v>504</v>
      </c>
      <c r="D459" s="9">
        <v>56436</v>
      </c>
      <c r="E459" s="9" t="str">
        <f t="shared" si="7"/>
        <v>06-07-2054</v>
      </c>
      <c r="F459" s="7">
        <v>44288</v>
      </c>
      <c r="G459" s="11"/>
    </row>
    <row r="460" spans="1:7">
      <c r="A460" s="4" t="s">
        <v>2991</v>
      </c>
      <c r="B460" s="4" t="s">
        <v>462</v>
      </c>
      <c r="C460" s="4" t="s">
        <v>505</v>
      </c>
      <c r="D460" s="9">
        <v>45575</v>
      </c>
      <c r="E460" s="9" t="str">
        <f t="shared" si="7"/>
        <v>10-10-2024</v>
      </c>
      <c r="F460" s="7">
        <v>44289</v>
      </c>
      <c r="G460" s="11"/>
    </row>
    <row r="461" spans="1:7">
      <c r="A461" s="4" t="s">
        <v>2992</v>
      </c>
      <c r="B461" s="4" t="s">
        <v>463</v>
      </c>
      <c r="C461" s="4" t="s">
        <v>507</v>
      </c>
      <c r="D461" s="9">
        <v>80798</v>
      </c>
      <c r="E461" s="9" t="str">
        <f t="shared" si="7"/>
        <v>19-03-2121</v>
      </c>
      <c r="F461" s="7">
        <v>44290</v>
      </c>
      <c r="G461" s="11"/>
    </row>
    <row r="462" spans="1:7">
      <c r="A462" s="4" t="s">
        <v>2993</v>
      </c>
      <c r="B462" s="4" t="s">
        <v>464</v>
      </c>
      <c r="C462" s="4" t="s">
        <v>505</v>
      </c>
      <c r="D462" s="9">
        <v>31399</v>
      </c>
      <c r="E462" s="9" t="str">
        <f t="shared" si="7"/>
        <v>18-12-1985</v>
      </c>
      <c r="F462" s="7">
        <v>44291</v>
      </c>
      <c r="G462" s="11"/>
    </row>
    <row r="463" spans="1:7">
      <c r="A463" s="4" t="s">
        <v>2994</v>
      </c>
      <c r="B463" s="4" t="s">
        <v>465</v>
      </c>
      <c r="C463" s="4" t="s">
        <v>505</v>
      </c>
      <c r="D463" s="9">
        <v>70773</v>
      </c>
      <c r="E463" s="9" t="str">
        <f t="shared" si="7"/>
        <v>06-10-2093</v>
      </c>
      <c r="F463" s="7">
        <v>44292</v>
      </c>
      <c r="G463" s="11"/>
    </row>
    <row r="464" spans="1:7">
      <c r="A464" s="4" t="s">
        <v>2995</v>
      </c>
      <c r="B464" s="4" t="s">
        <v>466</v>
      </c>
      <c r="C464" s="4" t="s">
        <v>506</v>
      </c>
      <c r="D464" s="9">
        <v>88183</v>
      </c>
      <c r="E464" s="9" t="str">
        <f t="shared" si="7"/>
        <v>07-06-2141</v>
      </c>
      <c r="F464" s="7">
        <v>44293</v>
      </c>
      <c r="G464" s="11"/>
    </row>
    <row r="465" spans="1:7">
      <c r="A465" s="4" t="s">
        <v>2996</v>
      </c>
      <c r="B465" s="4" t="s">
        <v>467</v>
      </c>
      <c r="C465" s="4" t="s">
        <v>505</v>
      </c>
      <c r="D465" s="9">
        <v>64999</v>
      </c>
      <c r="E465" s="9" t="str">
        <f t="shared" si="7"/>
        <v>15-12-2077</v>
      </c>
      <c r="F465" s="7">
        <v>44294</v>
      </c>
      <c r="G465" s="11"/>
    </row>
    <row r="466" spans="1:7">
      <c r="A466" s="4" t="s">
        <v>2997</v>
      </c>
      <c r="B466" s="4" t="s">
        <v>468</v>
      </c>
      <c r="C466" s="4" t="s">
        <v>507</v>
      </c>
      <c r="D466" s="9">
        <v>45053</v>
      </c>
      <c r="E466" s="9" t="str">
        <f t="shared" si="7"/>
        <v>07-05-2023</v>
      </c>
      <c r="F466" s="7">
        <v>44295</v>
      </c>
      <c r="G466" s="11"/>
    </row>
    <row r="467" spans="1:7">
      <c r="A467" s="4" t="s">
        <v>2998</v>
      </c>
      <c r="B467" s="4" t="s">
        <v>469</v>
      </c>
      <c r="C467" s="4" t="s">
        <v>504</v>
      </c>
      <c r="D467" s="9">
        <v>35467</v>
      </c>
      <c r="E467" s="9" t="str">
        <f t="shared" si="7"/>
        <v>06-02-1997</v>
      </c>
      <c r="F467" s="7">
        <v>44296</v>
      </c>
      <c r="G467" s="11"/>
    </row>
    <row r="468" spans="1:7">
      <c r="A468" s="4" t="s">
        <v>2999</v>
      </c>
      <c r="B468" s="4" t="s">
        <v>470</v>
      </c>
      <c r="C468" s="4" t="s">
        <v>508</v>
      </c>
      <c r="D468" s="9">
        <v>95512</v>
      </c>
      <c r="E468" s="9" t="str">
        <f t="shared" si="7"/>
        <v>01-07-2161</v>
      </c>
      <c r="F468" s="7">
        <v>44297</v>
      </c>
      <c r="G468" s="11"/>
    </row>
    <row r="469" spans="1:7">
      <c r="A469" s="4" t="s">
        <v>3000</v>
      </c>
      <c r="B469" s="4" t="s">
        <v>471</v>
      </c>
      <c r="C469" s="4" t="s">
        <v>504</v>
      </c>
      <c r="D469" s="9">
        <v>46595</v>
      </c>
      <c r="E469" s="9" t="str">
        <f t="shared" si="7"/>
        <v>27-07-2027</v>
      </c>
      <c r="F469" s="7">
        <v>44298</v>
      </c>
      <c r="G469" s="11"/>
    </row>
    <row r="470" spans="1:7">
      <c r="A470" s="4" t="s">
        <v>3001</v>
      </c>
      <c r="B470" s="4" t="s">
        <v>472</v>
      </c>
      <c r="C470" s="4" t="s">
        <v>505</v>
      </c>
      <c r="D470" s="9">
        <v>35544</v>
      </c>
      <c r="E470" s="9" t="str">
        <f t="shared" si="7"/>
        <v>24-04-1997</v>
      </c>
      <c r="F470" s="7">
        <v>44299</v>
      </c>
      <c r="G470" s="11"/>
    </row>
    <row r="471" spans="1:7">
      <c r="A471" s="4" t="s">
        <v>3002</v>
      </c>
      <c r="B471" s="4" t="s">
        <v>473</v>
      </c>
      <c r="C471" s="4" t="s">
        <v>507</v>
      </c>
      <c r="D471" s="9">
        <v>72510</v>
      </c>
      <c r="E471" s="9" t="str">
        <f t="shared" si="7"/>
        <v>09-07-2098</v>
      </c>
      <c r="F471" s="7">
        <v>44300</v>
      </c>
      <c r="G471" s="11"/>
    </row>
    <row r="472" spans="1:7">
      <c r="A472" s="4" t="s">
        <v>3003</v>
      </c>
      <c r="B472" s="4" t="s">
        <v>474</v>
      </c>
      <c r="C472" s="4" t="s">
        <v>504</v>
      </c>
      <c r="D472" s="9">
        <v>64091</v>
      </c>
      <c r="E472" s="9" t="str">
        <f t="shared" si="7"/>
        <v>21-06-2075</v>
      </c>
      <c r="F472" s="7">
        <v>44301</v>
      </c>
      <c r="G472" s="11"/>
    </row>
    <row r="473" spans="1:7">
      <c r="A473" s="4" t="s">
        <v>3004</v>
      </c>
      <c r="B473" s="4" t="s">
        <v>475</v>
      </c>
      <c r="C473" s="4" t="s">
        <v>506</v>
      </c>
      <c r="D473" s="9">
        <v>85324</v>
      </c>
      <c r="E473" s="9" t="str">
        <f t="shared" si="7"/>
        <v>09-08-2133</v>
      </c>
      <c r="F473" s="7">
        <v>44302</v>
      </c>
      <c r="G473" s="11"/>
    </row>
    <row r="474" spans="1:7">
      <c r="A474" s="4" t="s">
        <v>3005</v>
      </c>
      <c r="B474" s="4" t="s">
        <v>476</v>
      </c>
      <c r="C474" s="4" t="s">
        <v>505</v>
      </c>
      <c r="D474" s="9">
        <v>43518</v>
      </c>
      <c r="E474" s="9" t="str">
        <f t="shared" si="7"/>
        <v>22-02-2019</v>
      </c>
      <c r="F474" s="7">
        <v>44303</v>
      </c>
      <c r="G474" s="11"/>
    </row>
    <row r="475" spans="1:7">
      <c r="A475" s="4" t="s">
        <v>3006</v>
      </c>
      <c r="B475" s="4" t="s">
        <v>477</v>
      </c>
      <c r="C475" s="4" t="s">
        <v>506</v>
      </c>
      <c r="D475" s="9">
        <v>67003</v>
      </c>
      <c r="E475" s="9" t="str">
        <f t="shared" si="7"/>
        <v>11-06-2083</v>
      </c>
      <c r="F475" s="7">
        <v>44304</v>
      </c>
      <c r="G475" s="11"/>
    </row>
    <row r="476" spans="1:7">
      <c r="A476" s="4" t="s">
        <v>3007</v>
      </c>
      <c r="B476" s="4" t="s">
        <v>478</v>
      </c>
      <c r="C476" s="4" t="s">
        <v>505</v>
      </c>
      <c r="D476" s="9">
        <v>67870</v>
      </c>
      <c r="E476" s="9" t="str">
        <f t="shared" si="7"/>
        <v>25-10-2085</v>
      </c>
      <c r="F476" s="7">
        <v>44305</v>
      </c>
      <c r="G476" s="11"/>
    </row>
    <row r="477" spans="1:7">
      <c r="A477" s="4" t="s">
        <v>3008</v>
      </c>
      <c r="B477" s="4" t="s">
        <v>479</v>
      </c>
      <c r="C477" s="4" t="s">
        <v>504</v>
      </c>
      <c r="D477" s="9">
        <v>95338</v>
      </c>
      <c r="E477" s="9" t="str">
        <f t="shared" si="7"/>
        <v>08-01-2161</v>
      </c>
      <c r="F477" s="7">
        <v>44306</v>
      </c>
      <c r="G477" s="11"/>
    </row>
    <row r="478" spans="1:7">
      <c r="A478" s="4" t="s">
        <v>3009</v>
      </c>
      <c r="B478" s="4" t="s">
        <v>480</v>
      </c>
      <c r="C478" s="4" t="s">
        <v>506</v>
      </c>
      <c r="D478" s="9">
        <v>69281</v>
      </c>
      <c r="E478" s="9" t="str">
        <f t="shared" si="7"/>
        <v>05-09-2089</v>
      </c>
      <c r="F478" s="7">
        <v>44307</v>
      </c>
      <c r="G478" s="11"/>
    </row>
    <row r="479" spans="1:7">
      <c r="A479" s="4" t="s">
        <v>3010</v>
      </c>
      <c r="B479" s="4" t="s">
        <v>481</v>
      </c>
      <c r="C479" s="4" t="s">
        <v>505</v>
      </c>
      <c r="D479" s="9">
        <v>62086</v>
      </c>
      <c r="E479" s="9" t="str">
        <f t="shared" si="7"/>
        <v>24-12-2069</v>
      </c>
      <c r="F479" s="7">
        <v>44308</v>
      </c>
      <c r="G479" s="11"/>
    </row>
    <row r="480" spans="1:7">
      <c r="A480" s="4" t="s">
        <v>3011</v>
      </c>
      <c r="B480" s="4" t="s">
        <v>482</v>
      </c>
      <c r="C480" s="4" t="s">
        <v>504</v>
      </c>
      <c r="D480" s="9">
        <v>62071</v>
      </c>
      <c r="E480" s="9" t="str">
        <f t="shared" si="7"/>
        <v>09-12-2069</v>
      </c>
      <c r="F480" s="7">
        <v>44309</v>
      </c>
      <c r="G480" s="11"/>
    </row>
    <row r="481" spans="1:7">
      <c r="A481" s="4" t="s">
        <v>3012</v>
      </c>
      <c r="B481" s="4" t="s">
        <v>483</v>
      </c>
      <c r="C481" s="4" t="s">
        <v>507</v>
      </c>
      <c r="D481" s="9">
        <v>76104</v>
      </c>
      <c r="E481" s="9" t="str">
        <f t="shared" si="7"/>
        <v>12-05-2108</v>
      </c>
      <c r="F481" s="7">
        <v>44310</v>
      </c>
      <c r="G481" s="11"/>
    </row>
    <row r="482" spans="1:7">
      <c r="A482" s="4" t="s">
        <v>3013</v>
      </c>
      <c r="B482" s="4" t="s">
        <v>484</v>
      </c>
      <c r="C482" s="4" t="s">
        <v>504</v>
      </c>
      <c r="D482" s="9">
        <v>89119</v>
      </c>
      <c r="E482" s="9" t="str">
        <f t="shared" si="7"/>
        <v>30-12-2143</v>
      </c>
      <c r="F482" s="7">
        <v>44311</v>
      </c>
      <c r="G482" s="11"/>
    </row>
    <row r="483" spans="1:7">
      <c r="A483" s="4" t="s">
        <v>3014</v>
      </c>
      <c r="B483" s="4" t="s">
        <v>485</v>
      </c>
      <c r="C483" s="4" t="s">
        <v>505</v>
      </c>
      <c r="D483" s="9">
        <v>66700</v>
      </c>
      <c r="E483" s="9" t="str">
        <f t="shared" si="7"/>
        <v>12-08-2082</v>
      </c>
      <c r="F483" s="7">
        <v>44312</v>
      </c>
      <c r="G483" s="11"/>
    </row>
    <row r="484" spans="1:7">
      <c r="A484" s="4" t="s">
        <v>3015</v>
      </c>
      <c r="B484" s="4" t="s">
        <v>486</v>
      </c>
      <c r="C484" s="4" t="s">
        <v>508</v>
      </c>
      <c r="D484" s="9">
        <v>52412</v>
      </c>
      <c r="E484" s="9" t="str">
        <f t="shared" si="7"/>
        <v>30-06-2043</v>
      </c>
      <c r="F484" s="7">
        <v>44313</v>
      </c>
      <c r="G484" s="11"/>
    </row>
    <row r="485" spans="1:7">
      <c r="A485" s="4" t="s">
        <v>3016</v>
      </c>
      <c r="B485" s="4" t="s">
        <v>487</v>
      </c>
      <c r="C485" s="4" t="s">
        <v>507</v>
      </c>
      <c r="D485" s="9">
        <v>39107</v>
      </c>
      <c r="E485" s="9" t="str">
        <f t="shared" si="7"/>
        <v>25-01-2007</v>
      </c>
      <c r="F485" s="7">
        <v>44314</v>
      </c>
      <c r="G485" s="11"/>
    </row>
    <row r="486" spans="1:7">
      <c r="A486" s="4" t="s">
        <v>3017</v>
      </c>
      <c r="B486" s="4" t="s">
        <v>488</v>
      </c>
      <c r="C486" s="4" t="s">
        <v>505</v>
      </c>
      <c r="D486" s="9">
        <v>74753</v>
      </c>
      <c r="E486" s="9" t="str">
        <f t="shared" si="7"/>
        <v>30-08-2104</v>
      </c>
      <c r="F486" s="7">
        <v>44315</v>
      </c>
      <c r="G486" s="11"/>
    </row>
    <row r="487" spans="1:7">
      <c r="A487" s="4" t="s">
        <v>3018</v>
      </c>
      <c r="B487" s="4" t="s">
        <v>489</v>
      </c>
      <c r="C487" s="4" t="s">
        <v>506</v>
      </c>
      <c r="D487" s="9">
        <v>34451</v>
      </c>
      <c r="E487" s="9" t="str">
        <f t="shared" si="7"/>
        <v>27-04-1994</v>
      </c>
      <c r="F487" s="7">
        <v>44316</v>
      </c>
      <c r="G487" s="11"/>
    </row>
    <row r="488" spans="1:7">
      <c r="A488" s="4" t="s">
        <v>3019</v>
      </c>
      <c r="B488" s="4" t="s">
        <v>490</v>
      </c>
      <c r="C488" s="4" t="s">
        <v>506</v>
      </c>
      <c r="D488" s="9">
        <v>85559</v>
      </c>
      <c r="E488" s="9" t="str">
        <f t="shared" si="7"/>
        <v>01-04-2134</v>
      </c>
      <c r="F488" s="7">
        <v>44317</v>
      </c>
      <c r="G488" s="11"/>
    </row>
    <row r="489" spans="1:7">
      <c r="A489" s="4" t="s">
        <v>3020</v>
      </c>
      <c r="B489" s="4" t="s">
        <v>491</v>
      </c>
      <c r="C489" s="4" t="s">
        <v>504</v>
      </c>
      <c r="D489" s="9">
        <v>91259</v>
      </c>
      <c r="E489" s="9" t="str">
        <f t="shared" si="7"/>
        <v>08-11-2149</v>
      </c>
      <c r="F489" s="7">
        <v>44318</v>
      </c>
      <c r="G489" s="11"/>
    </row>
    <row r="490" spans="1:7">
      <c r="A490" s="4" t="s">
        <v>3021</v>
      </c>
      <c r="B490" s="4" t="s">
        <v>492</v>
      </c>
      <c r="C490" s="4" t="s">
        <v>506</v>
      </c>
      <c r="D490" s="9">
        <v>49004</v>
      </c>
      <c r="E490" s="9" t="str">
        <f t="shared" si="7"/>
        <v>01-03-2034</v>
      </c>
      <c r="F490" s="7">
        <v>44319</v>
      </c>
      <c r="G490" s="11"/>
    </row>
    <row r="491" spans="1:7">
      <c r="A491" s="4" t="s">
        <v>3022</v>
      </c>
      <c r="B491" s="4" t="s">
        <v>493</v>
      </c>
      <c r="C491" s="4" t="s">
        <v>507</v>
      </c>
      <c r="D491" s="9">
        <v>62548</v>
      </c>
      <c r="E491" s="9" t="str">
        <f t="shared" si="7"/>
        <v>31-03-2071</v>
      </c>
      <c r="F491" s="7">
        <v>44320</v>
      </c>
      <c r="G491" s="11"/>
    </row>
    <row r="492" spans="1:7">
      <c r="A492" s="4" t="s">
        <v>3023</v>
      </c>
      <c r="B492" s="4" t="s">
        <v>494</v>
      </c>
      <c r="C492" s="4" t="s">
        <v>506</v>
      </c>
      <c r="D492" s="9">
        <v>33517</v>
      </c>
      <c r="E492" s="9" t="str">
        <f t="shared" si="7"/>
        <v>06-10-1991</v>
      </c>
      <c r="F492" s="7">
        <v>44321</v>
      </c>
      <c r="G492" s="11"/>
    </row>
    <row r="493" spans="1:7">
      <c r="A493" s="4" t="s">
        <v>3024</v>
      </c>
      <c r="B493" s="4" t="s">
        <v>495</v>
      </c>
      <c r="C493" s="4" t="s">
        <v>504</v>
      </c>
      <c r="D493" s="9">
        <v>40156</v>
      </c>
      <c r="E493" s="9" t="str">
        <f t="shared" si="7"/>
        <v>09-12-2009</v>
      </c>
      <c r="F493" s="7">
        <v>44322</v>
      </c>
      <c r="G493" s="11"/>
    </row>
    <row r="494" spans="1:7">
      <c r="A494" s="4" t="s">
        <v>3025</v>
      </c>
      <c r="B494" s="4" t="s">
        <v>496</v>
      </c>
      <c r="C494" s="4" t="s">
        <v>506</v>
      </c>
      <c r="D494" s="9">
        <v>74450</v>
      </c>
      <c r="E494" s="9" t="str">
        <f t="shared" si="7"/>
        <v>01-11-2103</v>
      </c>
      <c r="F494" s="7">
        <v>44323</v>
      </c>
      <c r="G494" s="11"/>
    </row>
    <row r="495" spans="1:7">
      <c r="A495" s="4" t="s">
        <v>3026</v>
      </c>
      <c r="B495" s="4" t="s">
        <v>497</v>
      </c>
      <c r="C495" s="4" t="s">
        <v>508</v>
      </c>
      <c r="D495" s="9">
        <v>80523</v>
      </c>
      <c r="E495" s="9" t="str">
        <f t="shared" si="7"/>
        <v>17-06-2120</v>
      </c>
      <c r="F495" s="7">
        <v>44324</v>
      </c>
      <c r="G495" s="11"/>
    </row>
    <row r="496" spans="1:7">
      <c r="A496" s="4" t="s">
        <v>3027</v>
      </c>
      <c r="B496" s="4" t="s">
        <v>498</v>
      </c>
      <c r="C496" s="4" t="s">
        <v>507</v>
      </c>
      <c r="D496" s="9">
        <v>60266</v>
      </c>
      <c r="E496" s="9" t="str">
        <f t="shared" si="7"/>
        <v>30-12-2064</v>
      </c>
      <c r="F496" s="7">
        <v>44325</v>
      </c>
      <c r="G496" s="11"/>
    </row>
    <row r="497" spans="1:7">
      <c r="A497" s="4" t="s">
        <v>3028</v>
      </c>
      <c r="B497" s="4" t="s">
        <v>499</v>
      </c>
      <c r="C497" s="4" t="s">
        <v>505</v>
      </c>
      <c r="D497" s="9">
        <v>43477</v>
      </c>
      <c r="E497" s="9" t="str">
        <f t="shared" si="7"/>
        <v>12-01-2019</v>
      </c>
      <c r="F497" s="7">
        <v>44326</v>
      </c>
      <c r="G497" s="11"/>
    </row>
    <row r="498" spans="1:7">
      <c r="A498" s="4" t="s">
        <v>3029</v>
      </c>
      <c r="B498" s="4" t="s">
        <v>500</v>
      </c>
      <c r="C498" s="4" t="s">
        <v>506</v>
      </c>
      <c r="D498" s="9">
        <v>92915</v>
      </c>
      <c r="E498" s="9" t="str">
        <f t="shared" si="7"/>
        <v>22-05-2154</v>
      </c>
      <c r="F498" s="7">
        <v>44327</v>
      </c>
      <c r="G498" s="11"/>
    </row>
    <row r="499" spans="1:7">
      <c r="A499" s="4" t="s">
        <v>3030</v>
      </c>
      <c r="B499" s="4" t="s">
        <v>501</v>
      </c>
      <c r="C499" s="4" t="s">
        <v>507</v>
      </c>
      <c r="D499" s="9">
        <v>76666</v>
      </c>
      <c r="E499" s="9" t="str">
        <f t="shared" si="7"/>
        <v>25-11-2109</v>
      </c>
      <c r="F499" s="7">
        <v>44328</v>
      </c>
      <c r="G499" s="11"/>
    </row>
    <row r="500" spans="1:7">
      <c r="A500" s="4" t="s">
        <v>3031</v>
      </c>
      <c r="B500" s="4" t="s">
        <v>502</v>
      </c>
      <c r="C500" s="4" t="s">
        <v>504</v>
      </c>
      <c r="D500" s="9">
        <v>67908</v>
      </c>
      <c r="E500" s="9" t="str">
        <f t="shared" si="7"/>
        <v>02-12-2085</v>
      </c>
      <c r="F500" s="7">
        <v>44329</v>
      </c>
      <c r="G500" s="11"/>
    </row>
    <row r="501" spans="1:7">
      <c r="A501" s="4" t="s">
        <v>3032</v>
      </c>
      <c r="B501" s="4" t="s">
        <v>503</v>
      </c>
      <c r="C501" s="4" t="s">
        <v>505</v>
      </c>
      <c r="D501" s="9">
        <v>47209</v>
      </c>
      <c r="E501" s="9" t="str">
        <f t="shared" si="7"/>
        <v>01-04-2029</v>
      </c>
      <c r="F501" s="7">
        <v>44330</v>
      </c>
      <c r="G501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L11"/>
  <sheetViews>
    <sheetView tabSelected="1" topLeftCell="G1" zoomScale="145" zoomScaleNormal="145" workbookViewId="0">
      <selection activeCell="N8" sqref="N8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11.33203125" bestFit="1" customWidth="1"/>
    <col min="5" max="5" width="10.44140625" customWidth="1"/>
    <col min="6" max="7" width="16.88671875" customWidth="1"/>
    <col min="8" max="8" width="18.6640625" customWidth="1"/>
    <col min="9" max="9" width="7.21875" customWidth="1"/>
    <col min="10" max="10" width="13.109375" customWidth="1"/>
    <col min="11" max="11" width="11.44140625" bestFit="1" customWidth="1"/>
    <col min="12" max="12" width="11.44140625" customWidth="1"/>
  </cols>
  <sheetData>
    <row r="1" spans="1:12">
      <c r="A1" s="2" t="s">
        <v>3033</v>
      </c>
      <c r="B1" s="2" t="s">
        <v>3034</v>
      </c>
      <c r="C1" s="2" t="s">
        <v>511</v>
      </c>
      <c r="D1" s="2" t="s">
        <v>3098</v>
      </c>
      <c r="E1" s="2" t="s">
        <v>512</v>
      </c>
      <c r="F1" s="2" t="s">
        <v>3097</v>
      </c>
      <c r="G1" s="2" t="s">
        <v>3097</v>
      </c>
      <c r="H1" s="2" t="s">
        <v>3035</v>
      </c>
      <c r="I1" s="2" t="s">
        <v>3036</v>
      </c>
      <c r="J1" s="2" t="s">
        <v>3101</v>
      </c>
      <c r="K1" s="2" t="s">
        <v>3037</v>
      </c>
      <c r="L1" s="2"/>
    </row>
    <row r="2" spans="1:12">
      <c r="A2">
        <v>101</v>
      </c>
      <c r="B2" t="s">
        <v>3038</v>
      </c>
      <c r="C2" t="s">
        <v>3050</v>
      </c>
      <c r="D2" t="str">
        <f>TRIM(C2)</f>
        <v>Mobile</v>
      </c>
      <c r="E2">
        <v>799</v>
      </c>
      <c r="F2" t="str">
        <f>TEXT(E2,"dd/mm/yyyy")</f>
        <v>09/03/1902</v>
      </c>
      <c r="G2" t="str">
        <f>TEXT(E2,"#,##.0")</f>
        <v>799.0</v>
      </c>
      <c r="H2">
        <v>50</v>
      </c>
      <c r="I2">
        <v>4.5</v>
      </c>
      <c r="J2">
        <f>IFERROR(ABS(I2),"invalid")</f>
        <v>4.5</v>
      </c>
      <c r="K2" t="s">
        <v>3103</v>
      </c>
      <c r="L2" t="s">
        <v>3107</v>
      </c>
    </row>
    <row r="3" spans="1:12">
      <c r="A3">
        <v>102</v>
      </c>
      <c r="B3" t="s">
        <v>3040</v>
      </c>
      <c r="C3" t="s">
        <v>3051</v>
      </c>
      <c r="D3" t="str">
        <f t="shared" ref="D3:D11" si="0">TRIM(C3)</f>
        <v>Mobile</v>
      </c>
      <c r="E3">
        <v>999</v>
      </c>
      <c r="F3" t="str">
        <f>TEXT(E3,"dd/mm/yyyy")</f>
        <v>25/09/1902</v>
      </c>
      <c r="G3" t="str">
        <f t="shared" ref="G3:G11" si="1">TEXT(E3,"#,##.0")</f>
        <v>999.0</v>
      </c>
      <c r="H3">
        <v>30</v>
      </c>
      <c r="I3">
        <v>4.7</v>
      </c>
      <c r="J3">
        <f t="shared" ref="J3:J11" si="2">IFERROR(ABS(I3),"invalid")</f>
        <v>4.7</v>
      </c>
      <c r="K3" t="s">
        <v>3104</v>
      </c>
      <c r="L3" t="s">
        <v>3108</v>
      </c>
    </row>
    <row r="4" spans="1:12">
      <c r="A4">
        <v>103</v>
      </c>
      <c r="B4" t="s">
        <v>3041</v>
      </c>
      <c r="C4" t="s">
        <v>3052</v>
      </c>
      <c r="D4" t="str">
        <f t="shared" si="0"/>
        <v>Headphones</v>
      </c>
      <c r="E4">
        <v>399</v>
      </c>
      <c r="F4" t="str">
        <f t="shared" ref="F4:F11" si="3">TEXT(E4,"dd/mm/yyyy")</f>
        <v>02/02/1901</v>
      </c>
      <c r="G4" t="str">
        <f t="shared" si="1"/>
        <v>399.0</v>
      </c>
      <c r="H4">
        <v>15</v>
      </c>
      <c r="I4">
        <v>4.5999999999999996</v>
      </c>
      <c r="J4">
        <f t="shared" si="2"/>
        <v>4.5999999999999996</v>
      </c>
      <c r="K4" t="s">
        <v>3105</v>
      </c>
      <c r="L4" t="s">
        <v>3109</v>
      </c>
    </row>
    <row r="5" spans="1:12">
      <c r="A5">
        <v>104</v>
      </c>
      <c r="B5" t="s">
        <v>3043</v>
      </c>
      <c r="C5" t="s">
        <v>3053</v>
      </c>
      <c r="D5" t="str">
        <f t="shared" si="0"/>
        <v>Laptop</v>
      </c>
      <c r="E5">
        <v>1249</v>
      </c>
      <c r="F5" t="str">
        <f t="shared" si="3"/>
        <v>02/06/1903</v>
      </c>
      <c r="G5" t="str">
        <f t="shared" si="1"/>
        <v>1,249.0</v>
      </c>
      <c r="H5">
        <v>10</v>
      </c>
      <c r="I5">
        <v>4.8</v>
      </c>
      <c r="J5">
        <f t="shared" si="2"/>
        <v>4.8</v>
      </c>
      <c r="K5" t="s">
        <v>3106</v>
      </c>
      <c r="L5" t="s">
        <v>3110</v>
      </c>
    </row>
    <row r="6" spans="1:12">
      <c r="A6">
        <v>101</v>
      </c>
      <c r="B6" t="s">
        <v>3038</v>
      </c>
      <c r="C6" t="s">
        <v>3054</v>
      </c>
      <c r="D6" t="str">
        <f t="shared" si="0"/>
        <v>Mobile</v>
      </c>
      <c r="E6">
        <v>799</v>
      </c>
      <c r="F6" t="str">
        <f t="shared" si="3"/>
        <v>09/03/1902</v>
      </c>
      <c r="G6" t="str">
        <f t="shared" si="1"/>
        <v>799.0</v>
      </c>
      <c r="H6">
        <v>50</v>
      </c>
      <c r="I6" t="s">
        <v>3102</v>
      </c>
      <c r="J6" t="str">
        <f t="shared" si="2"/>
        <v>invalid</v>
      </c>
      <c r="K6" t="s">
        <v>3039</v>
      </c>
      <c r="L6" t="s">
        <v>3107</v>
      </c>
    </row>
    <row r="7" spans="1:12">
      <c r="A7">
        <v>105</v>
      </c>
      <c r="B7" t="s">
        <v>3045</v>
      </c>
      <c r="C7" t="s">
        <v>3055</v>
      </c>
      <c r="D7" t="str">
        <f t="shared" si="0"/>
        <v>Laptop</v>
      </c>
      <c r="E7">
        <v>1349</v>
      </c>
      <c r="F7" t="str">
        <f t="shared" si="3"/>
        <v>10/09/1903</v>
      </c>
      <c r="G7" t="str">
        <f t="shared" si="1"/>
        <v>1,349.0</v>
      </c>
      <c r="H7">
        <v>8</v>
      </c>
      <c r="I7">
        <v>4.7</v>
      </c>
      <c r="J7">
        <f t="shared" si="2"/>
        <v>4.7</v>
      </c>
      <c r="K7" t="s">
        <v>3046</v>
      </c>
      <c r="L7" t="s">
        <v>3110</v>
      </c>
    </row>
    <row r="8" spans="1:12">
      <c r="A8">
        <v>106</v>
      </c>
      <c r="B8" t="s">
        <v>3047</v>
      </c>
      <c r="C8" t="s">
        <v>3056</v>
      </c>
      <c r="D8" t="str">
        <f t="shared" si="0"/>
        <v>Headphones</v>
      </c>
      <c r="E8">
        <v>329</v>
      </c>
      <c r="F8" t="str">
        <f t="shared" si="3"/>
        <v>24/11/1900</v>
      </c>
      <c r="G8" t="str">
        <f t="shared" si="1"/>
        <v>329.0</v>
      </c>
      <c r="H8">
        <v>25</v>
      </c>
      <c r="I8">
        <v>4.4000000000000004</v>
      </c>
      <c r="J8">
        <f t="shared" si="2"/>
        <v>4.4000000000000004</v>
      </c>
      <c r="K8" t="s">
        <v>3042</v>
      </c>
      <c r="L8" t="s">
        <v>3109</v>
      </c>
    </row>
    <row r="9" spans="1:12">
      <c r="A9">
        <v>107</v>
      </c>
      <c r="B9" t="s">
        <v>3041</v>
      </c>
      <c r="C9" t="s">
        <v>3057</v>
      </c>
      <c r="D9" t="str">
        <f t="shared" si="0"/>
        <v>Headphones</v>
      </c>
      <c r="E9">
        <v>399</v>
      </c>
      <c r="F9" t="str">
        <f t="shared" si="3"/>
        <v>02/02/1901</v>
      </c>
      <c r="G9" t="str">
        <f t="shared" si="1"/>
        <v>399.0</v>
      </c>
      <c r="H9">
        <v>15</v>
      </c>
      <c r="I9" t="s">
        <v>3099</v>
      </c>
      <c r="J9" t="str">
        <f t="shared" si="2"/>
        <v>invalid</v>
      </c>
      <c r="K9" t="s">
        <v>3042</v>
      </c>
      <c r="L9" t="s">
        <v>3109</v>
      </c>
    </row>
    <row r="10" spans="1:12">
      <c r="A10">
        <v>108</v>
      </c>
      <c r="B10" t="s">
        <v>3048</v>
      </c>
      <c r="C10" t="s">
        <v>3058</v>
      </c>
      <c r="D10" t="str">
        <f t="shared" si="0"/>
        <v>Laptop</v>
      </c>
      <c r="E10">
        <v>1299</v>
      </c>
      <c r="F10" t="str">
        <f t="shared" si="3"/>
        <v>22/07/1903</v>
      </c>
      <c r="G10" t="str">
        <f t="shared" si="1"/>
        <v>1,299.0</v>
      </c>
      <c r="H10">
        <v>6</v>
      </c>
      <c r="I10">
        <v>4.8</v>
      </c>
      <c r="J10">
        <f t="shared" si="2"/>
        <v>4.8</v>
      </c>
      <c r="K10" t="s">
        <v>3044</v>
      </c>
      <c r="L10" t="s">
        <v>3110</v>
      </c>
    </row>
    <row r="11" spans="1:12">
      <c r="A11">
        <v>103</v>
      </c>
      <c r="B11" t="s">
        <v>3041</v>
      </c>
      <c r="C11" t="s">
        <v>3059</v>
      </c>
      <c r="D11" t="str">
        <f t="shared" si="0"/>
        <v>Headphones</v>
      </c>
      <c r="E11">
        <v>399</v>
      </c>
      <c r="F11" t="str">
        <f t="shared" si="3"/>
        <v>02/02/1901</v>
      </c>
      <c r="G11" t="str">
        <f t="shared" si="1"/>
        <v>399.0</v>
      </c>
      <c r="H11">
        <v>15</v>
      </c>
      <c r="I11">
        <v>4.5999999999999996</v>
      </c>
      <c r="J11">
        <f t="shared" si="2"/>
        <v>4.5999999999999996</v>
      </c>
      <c r="K11" t="s">
        <v>3042</v>
      </c>
      <c r="L11" t="s">
        <v>3109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3049</v>
      </c>
    </row>
    <row r="2" spans="1:4">
      <c r="A2" t="s">
        <v>2533</v>
      </c>
      <c r="B2" t="s">
        <v>5</v>
      </c>
      <c r="C2" t="s">
        <v>504</v>
      </c>
      <c r="D2">
        <v>9812345678</v>
      </c>
    </row>
    <row r="3" spans="1:4">
      <c r="A3" t="s">
        <v>2534</v>
      </c>
      <c r="B3" t="s">
        <v>6</v>
      </c>
      <c r="C3" t="s">
        <v>505</v>
      </c>
      <c r="D3">
        <v>9812345679</v>
      </c>
    </row>
    <row r="4" spans="1:4">
      <c r="A4" t="s">
        <v>2535</v>
      </c>
      <c r="B4" t="s">
        <v>7</v>
      </c>
      <c r="C4" t="s">
        <v>506</v>
      </c>
      <c r="D4">
        <v>9812345680</v>
      </c>
    </row>
    <row r="5" spans="1:4">
      <c r="A5" t="s">
        <v>2536</v>
      </c>
      <c r="B5" t="s">
        <v>8</v>
      </c>
      <c r="C5" t="s">
        <v>504</v>
      </c>
      <c r="D5">
        <v>9812345681</v>
      </c>
    </row>
    <row r="6" spans="1:4">
      <c r="A6" t="s">
        <v>2537</v>
      </c>
      <c r="B6" t="s">
        <v>9</v>
      </c>
      <c r="C6" t="s">
        <v>505</v>
      </c>
      <c r="D6">
        <v>9812345682</v>
      </c>
    </row>
    <row r="7" spans="1:4">
      <c r="A7" t="s">
        <v>2538</v>
      </c>
      <c r="B7" t="s">
        <v>7</v>
      </c>
      <c r="C7" t="s">
        <v>505</v>
      </c>
      <c r="D7">
        <v>9812345683</v>
      </c>
    </row>
    <row r="8" spans="1:4">
      <c r="A8" t="s">
        <v>2539</v>
      </c>
      <c r="B8" t="s">
        <v>10</v>
      </c>
      <c r="C8" t="s">
        <v>506</v>
      </c>
      <c r="D8">
        <v>9812345684</v>
      </c>
    </row>
    <row r="9" spans="1:4">
      <c r="A9" t="s">
        <v>2540</v>
      </c>
      <c r="B9" t="s">
        <v>11</v>
      </c>
      <c r="C9" t="s">
        <v>504</v>
      </c>
      <c r="D9">
        <v>9812345678</v>
      </c>
    </row>
    <row r="10" spans="1:4">
      <c r="A10" t="s">
        <v>2541</v>
      </c>
      <c r="B10" t="s">
        <v>12</v>
      </c>
      <c r="C10" t="s">
        <v>505</v>
      </c>
      <c r="D10">
        <v>9812345686</v>
      </c>
    </row>
    <row r="11" spans="1:4">
      <c r="A11" t="s">
        <v>2542</v>
      </c>
      <c r="B11" t="s">
        <v>13</v>
      </c>
      <c r="C11" t="s">
        <v>506</v>
      </c>
      <c r="D11">
        <v>9812345687</v>
      </c>
    </row>
    <row r="12" spans="1:4">
      <c r="A12" t="s">
        <v>2543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4.4"/>
  <cols>
    <col min="1" max="1" width="24.33203125" customWidth="1"/>
    <col min="2" max="2" width="25.6640625" customWidth="1"/>
    <col min="3" max="3" width="16.77734375" customWidth="1"/>
  </cols>
  <sheetData>
    <row r="1" spans="1:1">
      <c r="A1" s="13" t="s">
        <v>3074</v>
      </c>
    </row>
    <row r="2" spans="1:1">
      <c r="A2" s="14" t="s">
        <v>3075</v>
      </c>
    </row>
    <row r="3" spans="1:1">
      <c r="A3" s="14" t="s">
        <v>3076</v>
      </c>
    </row>
    <row r="4" spans="1:1">
      <c r="A4" s="14" t="s">
        <v>3077</v>
      </c>
    </row>
    <row r="5" spans="1:1">
      <c r="A5" s="14" t="s">
        <v>3078</v>
      </c>
    </row>
    <row r="6" spans="1:1">
      <c r="A6" s="14" t="s">
        <v>3079</v>
      </c>
    </row>
    <row r="7" spans="1:1">
      <c r="A7" s="14" t="s">
        <v>3080</v>
      </c>
    </row>
    <row r="8" spans="1:1">
      <c r="A8" s="14" t="s">
        <v>3081</v>
      </c>
    </row>
    <row r="9" spans="1:1">
      <c r="A9" s="14" t="s">
        <v>3082</v>
      </c>
    </row>
    <row r="10" spans="1:1">
      <c r="A10" s="14" t="s">
        <v>3083</v>
      </c>
    </row>
    <row r="11" spans="1:1">
      <c r="A11" s="14" t="s">
        <v>3084</v>
      </c>
    </row>
    <row r="12" spans="1:1">
      <c r="A12" s="14" t="s">
        <v>3085</v>
      </c>
    </row>
    <row r="13" spans="1:1">
      <c r="A13" s="14" t="s">
        <v>3086</v>
      </c>
    </row>
    <row r="14" spans="1:1">
      <c r="A14" s="14" t="s">
        <v>3087</v>
      </c>
    </row>
    <row r="15" spans="1:1">
      <c r="A15" s="14" t="s">
        <v>3088</v>
      </c>
    </row>
    <row r="16" spans="1:1">
      <c r="A16" s="14" t="s">
        <v>3089</v>
      </c>
    </row>
    <row r="17" spans="1:1">
      <c r="A17" s="14" t="s">
        <v>3090</v>
      </c>
    </row>
    <row r="18" spans="1:1">
      <c r="A18" s="14" t="s">
        <v>3091</v>
      </c>
    </row>
    <row r="19" spans="1:1">
      <c r="A19" s="14" t="s">
        <v>3092</v>
      </c>
    </row>
    <row r="20" spans="1:1">
      <c r="A20" s="14" t="s">
        <v>3093</v>
      </c>
    </row>
    <row r="21" spans="1:1">
      <c r="A21" s="14" t="s">
        <v>3094</v>
      </c>
    </row>
    <row r="22" spans="1:1">
      <c r="A22" s="14" t="s">
        <v>3095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F1" sqref="F1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26.77734375" customWidth="1"/>
    <col min="7" max="7" width="74" bestFit="1" customWidth="1"/>
  </cols>
  <sheetData>
    <row r="1" spans="1:7">
      <c r="A1" s="2" t="s">
        <v>509</v>
      </c>
      <c r="B1" s="2" t="s">
        <v>510</v>
      </c>
      <c r="C1" s="2" t="s">
        <v>511</v>
      </c>
      <c r="D1" s="2" t="s">
        <v>512</v>
      </c>
      <c r="E1" s="2" t="s">
        <v>513</v>
      </c>
      <c r="F1" s="2"/>
      <c r="G1" s="2" t="s">
        <v>3060</v>
      </c>
    </row>
    <row r="2" spans="1:7">
      <c r="A2" t="s">
        <v>514</v>
      </c>
      <c r="B2" t="s">
        <v>1014</v>
      </c>
      <c r="C2" t="s">
        <v>3071</v>
      </c>
      <c r="D2">
        <v>363.54</v>
      </c>
      <c r="E2">
        <v>-3</v>
      </c>
      <c r="F2">
        <f>IFERROR(ABS(E2),"Invalid")</f>
        <v>3</v>
      </c>
      <c r="G2" t="s">
        <v>3061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IFERROR(ABS(E3),"Invalid")</f>
        <v>40</v>
      </c>
      <c r="G3" t="s">
        <v>3062</v>
      </c>
    </row>
    <row r="4" spans="1:7">
      <c r="A4" t="s">
        <v>516</v>
      </c>
      <c r="B4" t="s">
        <v>1016</v>
      </c>
      <c r="C4" t="s">
        <v>3072</v>
      </c>
      <c r="D4">
        <v>234.14</v>
      </c>
      <c r="E4">
        <v>26</v>
      </c>
      <c r="F4">
        <f t="shared" si="0"/>
        <v>26</v>
      </c>
      <c r="G4" t="s">
        <v>3063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3064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3065</v>
      </c>
    </row>
    <row r="7" spans="1:7">
      <c r="A7" t="s">
        <v>519</v>
      </c>
      <c r="B7" t="s">
        <v>1019</v>
      </c>
      <c r="C7" t="s">
        <v>3071</v>
      </c>
      <c r="D7">
        <v>549.17999999999995</v>
      </c>
      <c r="E7">
        <v>31</v>
      </c>
      <c r="F7">
        <f t="shared" si="0"/>
        <v>31</v>
      </c>
      <c r="G7" t="s">
        <v>3066</v>
      </c>
    </row>
    <row r="8" spans="1:7">
      <c r="A8" t="s">
        <v>520</v>
      </c>
      <c r="B8" t="s">
        <v>1020</v>
      </c>
      <c r="C8" t="s">
        <v>3072</v>
      </c>
      <c r="D8">
        <v>222.56</v>
      </c>
      <c r="E8">
        <v>59</v>
      </c>
      <c r="F8">
        <f t="shared" si="0"/>
        <v>59</v>
      </c>
      <c r="G8" t="s">
        <v>3067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3068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3069</v>
      </c>
    </row>
    <row r="11" spans="1:7">
      <c r="A11" t="s">
        <v>523</v>
      </c>
      <c r="B11" t="s">
        <v>1023</v>
      </c>
      <c r="C11" t="s">
        <v>3072</v>
      </c>
      <c r="D11">
        <v>230.28</v>
      </c>
      <c r="E11" t="s">
        <v>3099</v>
      </c>
      <c r="F11" t="str">
        <f t="shared" si="0"/>
        <v>Invalid</v>
      </c>
      <c r="G11" t="s">
        <v>3070</v>
      </c>
    </row>
    <row r="12" spans="1:7">
      <c r="A12" t="s">
        <v>524</v>
      </c>
      <c r="B12" t="s">
        <v>1024</v>
      </c>
      <c r="C12" t="s">
        <v>3072</v>
      </c>
      <c r="D12">
        <v>763.66</v>
      </c>
      <c r="E12">
        <v>22</v>
      </c>
      <c r="F12">
        <f t="shared" si="0"/>
        <v>22</v>
      </c>
      <c r="G12" t="s">
        <v>3061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3062</v>
      </c>
    </row>
    <row r="14" spans="1:7">
      <c r="A14" t="s">
        <v>526</v>
      </c>
      <c r="B14" t="s">
        <v>1026</v>
      </c>
      <c r="C14" t="s">
        <v>3073</v>
      </c>
      <c r="D14">
        <v>669.92</v>
      </c>
      <c r="E14" t="s">
        <v>3100</v>
      </c>
      <c r="F14" t="str">
        <f t="shared" si="0"/>
        <v>Invalid</v>
      </c>
      <c r="G14" t="s">
        <v>3063</v>
      </c>
    </row>
    <row r="15" spans="1:7">
      <c r="A15" t="s">
        <v>527</v>
      </c>
      <c r="B15" t="s">
        <v>1027</v>
      </c>
      <c r="C15" t="s">
        <v>3072</v>
      </c>
      <c r="D15">
        <v>914.74</v>
      </c>
      <c r="E15">
        <v>-1</v>
      </c>
      <c r="F15">
        <f t="shared" si="0"/>
        <v>1</v>
      </c>
      <c r="G15" t="s">
        <v>3064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3065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3066</v>
      </c>
    </row>
    <row r="18" spans="1:7">
      <c r="A18" t="s">
        <v>530</v>
      </c>
      <c r="B18" t="s">
        <v>1030</v>
      </c>
      <c r="C18" t="s">
        <v>3073</v>
      </c>
      <c r="D18">
        <v>784.71</v>
      </c>
      <c r="E18">
        <v>96</v>
      </c>
      <c r="F18">
        <f t="shared" si="0"/>
        <v>96</v>
      </c>
      <c r="G18" t="s">
        <v>3067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3068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3069</v>
      </c>
    </row>
    <row r="21" spans="1:7">
      <c r="A21" t="s">
        <v>533</v>
      </c>
      <c r="B21" t="s">
        <v>1033</v>
      </c>
      <c r="C21" t="s">
        <v>3073</v>
      </c>
      <c r="D21">
        <v>944.43</v>
      </c>
      <c r="E21">
        <v>97</v>
      </c>
      <c r="F21">
        <f t="shared" si="0"/>
        <v>97</v>
      </c>
      <c r="G21" t="s">
        <v>3070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3061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3062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3063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3064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3065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3066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3067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3068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3069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3070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3061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3062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3063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3064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3065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3066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3067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3068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3069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4</v>
      </c>
      <c r="G41" t="s">
        <v>3070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10</v>
      </c>
      <c r="G42" t="s">
        <v>3061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3062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3063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3064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3065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3066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3067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3068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3069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3070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3061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3062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3063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3064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3065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3066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3067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3068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3069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3070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3061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8</v>
      </c>
      <c r="G63" t="s">
        <v>3062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3063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5</v>
      </c>
      <c r="G65" t="s">
        <v>3064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3065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IFERROR(ABS(E67),"Invalid")</f>
        <v>54</v>
      </c>
      <c r="G67" t="s">
        <v>3066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3067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3068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3069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3070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3061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3062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3063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3064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3065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3066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3067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3068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3069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3070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3061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3062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3063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3064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3065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3066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3067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3068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3069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3070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3061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3062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3063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3064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3065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3066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3067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3068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3069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3070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3061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3062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3063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3064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3065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9</v>
      </c>
      <c r="G107" t="s">
        <v>3066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3067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3068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3069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3070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3061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3062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3063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3064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3065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3066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3067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3068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3069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3070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3061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3062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3063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3064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3065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3066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3067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3068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3069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IFERROR(ABS(E131),"Invalid")</f>
        <v>78</v>
      </c>
      <c r="G131" t="s">
        <v>3070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3061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3062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3063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2</v>
      </c>
      <c r="G135" t="s">
        <v>3064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3065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8</v>
      </c>
      <c r="G137" t="s">
        <v>3066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3067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3068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3069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2</v>
      </c>
      <c r="G141" t="s">
        <v>3070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3061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3062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3063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3064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3065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3066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3067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3068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3069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3070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3061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3062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3063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3064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3065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3066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3067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3068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3069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3070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3061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3062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3063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3064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3065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3066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3067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3068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3069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3070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3061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3062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3063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3064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3065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2</v>
      </c>
      <c r="G177" t="s">
        <v>3066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3067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3068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3069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3070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3061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3062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7</v>
      </c>
      <c r="G184" t="s">
        <v>3063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3064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3065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3066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3067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3068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9</v>
      </c>
      <c r="G190" t="s">
        <v>3069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3070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3061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3062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3063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IFERROR(ABS(E195),"Invalid")</f>
        <v>57</v>
      </c>
      <c r="G195" t="s">
        <v>3064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3065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3066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3067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3068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3069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3070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3061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3062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3063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3064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3065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3066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3067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3068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3069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4</v>
      </c>
      <c r="G211" t="s">
        <v>3070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3061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3062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3063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3064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3065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3066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3067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5</v>
      </c>
      <c r="G219" t="s">
        <v>3068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3069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3070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3061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3062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3063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3064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3065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3066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3067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3068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3069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3070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3061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3062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3063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3064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3065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3066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3067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3068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3069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3070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3061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3062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3063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3064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3065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3066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3067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3068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3069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3070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8</v>
      </c>
      <c r="G252" t="s">
        <v>3061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4</v>
      </c>
      <c r="G253" t="s">
        <v>3062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3063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1</v>
      </c>
      <c r="G255" t="s">
        <v>3064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3065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3066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3067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IFERROR(ABS(E259),"Invalid")</f>
        <v>62</v>
      </c>
      <c r="G259" t="s">
        <v>3068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3069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3070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3061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3062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3063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3064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3065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3066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3067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3068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3069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3070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3061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3062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6</v>
      </c>
      <c r="G274" t="s">
        <v>3063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3064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3065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3066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3067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3068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3069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3070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4</v>
      </c>
      <c r="G282" t="s">
        <v>3061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3062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3063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3064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3065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3066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9</v>
      </c>
      <c r="G288" t="s">
        <v>3067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3068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3069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3070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3061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3062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3063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3064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3065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3066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3067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3068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3069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7</v>
      </c>
      <c r="G301" t="s">
        <v>3070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3061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3062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3063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3064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3065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3066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3067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3068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3069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3070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3061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3062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3063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3064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3065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3066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3067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3068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2</v>
      </c>
      <c r="G320" t="s">
        <v>3069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3070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3061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IFERROR(ABS(E323),"Invalid")</f>
        <v>95</v>
      </c>
      <c r="G323" t="s">
        <v>3062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3063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3064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9</v>
      </c>
      <c r="G326" t="s">
        <v>3065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3066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3067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3068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3069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3070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3061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6</v>
      </c>
      <c r="G333" t="s">
        <v>3062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3063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3064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3065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3066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3067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3068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3069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3070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3061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3062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5</v>
      </c>
      <c r="G344" t="s">
        <v>3063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2</v>
      </c>
      <c r="G345" t="s">
        <v>3064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3065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3066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3067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3068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3069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3070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4</v>
      </c>
      <c r="G352" t="s">
        <v>3061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3062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3063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3064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3065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3066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3067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3068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2</v>
      </c>
      <c r="G360" t="s">
        <v>3069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3070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3061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3062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3063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3064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3065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3066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3067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3068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3069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3070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3061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3062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8</v>
      </c>
      <c r="G374" t="s">
        <v>3063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3064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3065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3066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3067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3068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3069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3070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3061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5</v>
      </c>
      <c r="G383" t="s">
        <v>3062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3063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3064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3065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IFERROR(ABS(E387),"Invalid")</f>
        <v>62</v>
      </c>
      <c r="G387" t="s">
        <v>3066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7</v>
      </c>
      <c r="G388" t="s">
        <v>3067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3068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3069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3070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3061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3062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4</v>
      </c>
      <c r="G394" t="s">
        <v>3063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3064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3065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3066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3067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3068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3069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6</v>
      </c>
      <c r="G401" t="s">
        <v>3070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3061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3062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3063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3064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3065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9</v>
      </c>
      <c r="G407" t="s">
        <v>3066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3067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3068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3069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3070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3061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7</v>
      </c>
      <c r="G413" t="s">
        <v>3062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3063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3064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3065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3066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3067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3068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3069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3070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3061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3</v>
      </c>
      <c r="G423" t="s">
        <v>3062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3063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3064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3065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3066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3067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3068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3069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1</v>
      </c>
      <c r="G431" t="s">
        <v>3070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3061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3062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3063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3064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3065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3066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1</v>
      </c>
      <c r="G438" t="s">
        <v>3067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3068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3069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3070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3061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3062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3063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3064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3065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3066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3067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3068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3069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IFERROR(ABS(E451),"Invalid")</f>
        <v>51</v>
      </c>
      <c r="G451" t="s">
        <v>3070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3061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3062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10</v>
      </c>
      <c r="G454" t="s">
        <v>3063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3064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3065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3066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3067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3068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3069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3070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3061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3062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3063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3064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3065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9</v>
      </c>
      <c r="G467" t="s">
        <v>3066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3067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3068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3069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3070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3061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3062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3063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3064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3065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7</v>
      </c>
      <c r="G477" t="s">
        <v>3066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8</v>
      </c>
      <c r="G478" t="s">
        <v>3067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3068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3069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3070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3061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3062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3063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8</v>
      </c>
      <c r="G485" t="s">
        <v>3064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3065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3066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3067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3068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8</v>
      </c>
      <c r="G490" t="s">
        <v>3069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3070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3061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3062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3063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4</v>
      </c>
      <c r="G495" t="s">
        <v>3064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3065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3066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3067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3068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3069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3070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C10" sqref="C10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2" t="s">
        <v>509</v>
      </c>
      <c r="B1" s="2" t="s">
        <v>510</v>
      </c>
      <c r="C1" s="2" t="s">
        <v>511</v>
      </c>
      <c r="D1" s="2" t="s">
        <v>512</v>
      </c>
      <c r="E1" s="2" t="s">
        <v>513</v>
      </c>
      <c r="F1" s="2" t="s">
        <v>3060</v>
      </c>
    </row>
    <row r="2" spans="1:6">
      <c r="A2" t="s">
        <v>514</v>
      </c>
      <c r="B2" t="s">
        <v>1014</v>
      </c>
      <c r="C2" t="s">
        <v>3071</v>
      </c>
      <c r="D2">
        <v>363.54</v>
      </c>
      <c r="E2">
        <v>-3</v>
      </c>
      <c r="F2" t="s">
        <v>3061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3062</v>
      </c>
    </row>
    <row r="4" spans="1:6">
      <c r="A4" t="s">
        <v>516</v>
      </c>
      <c r="B4" t="s">
        <v>1016</v>
      </c>
      <c r="C4" t="s">
        <v>3072</v>
      </c>
      <c r="D4">
        <v>234.14</v>
      </c>
      <c r="E4">
        <v>26</v>
      </c>
      <c r="F4" t="s">
        <v>3063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3064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3065</v>
      </c>
    </row>
    <row r="9" spans="1:6">
      <c r="A9" t="s">
        <v>519</v>
      </c>
      <c r="B9" t="s">
        <v>1019</v>
      </c>
      <c r="C9" t="s">
        <v>3071</v>
      </c>
      <c r="D9">
        <v>549.17999999999995</v>
      </c>
      <c r="E9">
        <v>31</v>
      </c>
      <c r="F9" t="s">
        <v>3066</v>
      </c>
    </row>
    <row r="10" spans="1:6">
      <c r="A10" t="s">
        <v>520</v>
      </c>
      <c r="B10" t="s">
        <v>1020</v>
      </c>
      <c r="C10" t="s">
        <v>3072</v>
      </c>
      <c r="D10">
        <v>222.56</v>
      </c>
      <c r="E10">
        <v>59</v>
      </c>
      <c r="F10" t="s">
        <v>3067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3068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3069</v>
      </c>
    </row>
    <row r="15" spans="1:6">
      <c r="A15" t="s">
        <v>523</v>
      </c>
      <c r="B15" t="s">
        <v>1023</v>
      </c>
      <c r="C15" t="s">
        <v>3072</v>
      </c>
      <c r="D15">
        <v>230.28</v>
      </c>
      <c r="E15">
        <v>-5</v>
      </c>
      <c r="F15" t="s">
        <v>3070</v>
      </c>
    </row>
    <row r="16" spans="1:6">
      <c r="A16" t="s">
        <v>524</v>
      </c>
      <c r="B16" t="s">
        <v>1024</v>
      </c>
      <c r="C16" t="s">
        <v>3072</v>
      </c>
      <c r="D16">
        <v>763.66</v>
      </c>
      <c r="E16">
        <v>22</v>
      </c>
      <c r="F16" t="s">
        <v>3061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3062</v>
      </c>
    </row>
    <row r="18" spans="1:6">
      <c r="A18" t="s">
        <v>526</v>
      </c>
      <c r="B18" t="s">
        <v>1026</v>
      </c>
      <c r="C18" t="s">
        <v>3073</v>
      </c>
      <c r="D18">
        <v>669.92</v>
      </c>
      <c r="E18">
        <v>87</v>
      </c>
      <c r="F18" t="s">
        <v>3063</v>
      </c>
    </row>
    <row r="19" spans="1:6">
      <c r="A19" t="s">
        <v>527</v>
      </c>
      <c r="B19" t="s">
        <v>1027</v>
      </c>
      <c r="C19" t="s">
        <v>3072</v>
      </c>
      <c r="D19">
        <v>914.74</v>
      </c>
      <c r="E19">
        <v>-1</v>
      </c>
      <c r="F19" t="s">
        <v>3064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3065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3066</v>
      </c>
    </row>
    <row r="25" spans="1:6">
      <c r="A25" t="s">
        <v>530</v>
      </c>
      <c r="B25" t="s">
        <v>1030</v>
      </c>
      <c r="C25" t="s">
        <v>3073</v>
      </c>
      <c r="D25">
        <v>784.71</v>
      </c>
      <c r="E25">
        <v>96</v>
      </c>
      <c r="F25" t="s">
        <v>3067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3068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3069</v>
      </c>
    </row>
    <row r="28" spans="1:6">
      <c r="A28" t="s">
        <v>533</v>
      </c>
      <c r="B28" t="s">
        <v>1033</v>
      </c>
      <c r="C28" t="s">
        <v>3073</v>
      </c>
      <c r="D28">
        <v>944.43</v>
      </c>
      <c r="E28">
        <v>97</v>
      </c>
      <c r="F28" t="s">
        <v>3070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3061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3062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3063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3064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3065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3066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3067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3068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3069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3070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3061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3062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3063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3064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3065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3066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3067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3068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3069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3070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3061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3062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3063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3064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3065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3066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3067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3068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3069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3070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3061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3062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3063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3064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3065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3066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3067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3068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3069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3070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3061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3062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3063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3064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3065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3066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3067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3068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3069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3070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3061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3062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3063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3064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3065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3066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3067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3068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3069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3070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3061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3062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3063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3064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3065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3066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3067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3068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3069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3070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3061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3062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3063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3064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3065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3066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3067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3068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3069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3070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3061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3062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3063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3064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3065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3066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3067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3068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3069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3070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3061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3062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3063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3064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3065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3066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3067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3068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3069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3070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3061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3062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3063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3064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3065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3066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3067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3068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3069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3070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3061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3062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3063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3064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3065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3066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3067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3068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3069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3070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3061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3062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3063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3064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3065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3066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3067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3068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3069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3070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3061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3062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3063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3064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3065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3066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3067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3068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3069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3070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3061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3062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3063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3064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3065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3066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3067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3068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3069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3070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3061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3062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3063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3064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3065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3066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3067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3068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3069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3070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3061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3062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3063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3064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3065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3066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3067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3068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3069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3070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3061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3062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3063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3064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3065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3066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3067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3068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3069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3070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3061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3062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3063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3064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3065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3066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3067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3068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3069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3070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3061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3062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3063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3064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3065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3066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3067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3068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3069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3070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3061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3062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3063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3064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3065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3066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3067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3068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3069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3070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3061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3062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3063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3064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3065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3066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3067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3068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3069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3070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3061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3062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3063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3064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3065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3066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3067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3068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3069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3070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3061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3062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3063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3064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3065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3066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3067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3068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3069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3070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3061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3062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3063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3064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3065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3066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3067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3068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3069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3070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3061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3062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3063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3064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3065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3066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3067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3068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3069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3070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3061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3062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3063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3064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3065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3066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3067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3068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3069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3070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3061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3062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3063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3064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3065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3066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3067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3068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3069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3070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3061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3062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3063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3064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3065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3066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3067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3068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3069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3070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3061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3062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3063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3064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3065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3066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3067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3068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3069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3070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3061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3062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3063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3064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3065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3066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3067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3068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3069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3070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3061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3062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3063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3064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3065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3066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3067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3068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3069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3070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3061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3062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3063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3064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3065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3066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3067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3068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3069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3070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3061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3062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3063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3064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3065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3066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3067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3068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3069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3070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3061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3062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3063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3064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3065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3066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3067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3068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3069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3070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3061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3062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3063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3064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3065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3066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3067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3068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3069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3070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3061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3062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3063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3064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3065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3066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3067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3068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3069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3070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3061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3062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3063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3064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3065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3066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3067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3068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3069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3070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3061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3062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3063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3064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3065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3066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3067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3068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3069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3070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3061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3062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3063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3064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3065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3066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3067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3068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3069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3070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3061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3062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3063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3064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3065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3066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3067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3068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3069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3070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3061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3062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3063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3064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3065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3066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3067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3068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3069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3070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3061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3062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3063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3064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3065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3066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3067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3068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3069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3070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3061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3062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3063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3064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3065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3066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3067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3068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3069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3070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3061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3062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3063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3064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3065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3066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3067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3068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3069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3070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3061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3062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3063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3064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3065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3066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3067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3068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3069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3070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3061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3062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3063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3064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3065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3066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3067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3068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3069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3070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3061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3062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3063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3064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3065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3066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3067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3068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3069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3070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zoomScale="184" workbookViewId="0">
      <selection activeCell="D2" sqref="D2"/>
    </sheetView>
  </sheetViews>
  <sheetFormatPr defaultRowHeight="14.4"/>
  <cols>
    <col min="3" max="3" width="11.88671875" customWidth="1"/>
  </cols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  <c r="C2" t="str">
        <f>IF(B2&gt;=33,"Pass","Fail")</f>
        <v>Pass</v>
      </c>
      <c r="D2" t="str" cm="1">
        <f t="array" ref="D2">_xlfn.IFS(B2&gt;=80,"A",B2&gt;=60,"B",B2&lt;60,"Pass")</f>
        <v>A</v>
      </c>
    </row>
    <row r="3" spans="1:4">
      <c r="A3" t="s">
        <v>1524</v>
      </c>
      <c r="B3">
        <v>94</v>
      </c>
      <c r="C3" t="str">
        <f>IF(B3&gt;=33,"Pass","Fail")</f>
        <v>Pass</v>
      </c>
      <c r="D3" t="str" cm="1">
        <f t="array" ref="D3">_xlfn.IFS(B3&gt;=80,"A",B3&gt;=60,"B",B3&lt;60,"Pass",B3&lt;33,"Fail")</f>
        <v>A</v>
      </c>
    </row>
    <row r="4" spans="1:4">
      <c r="A4" t="s">
        <v>1525</v>
      </c>
      <c r="B4">
        <v>33</v>
      </c>
      <c r="C4" t="str">
        <f t="shared" ref="C4:C66" si="0">IF(B4&gt;=33,"Pass","Fail")</f>
        <v>Pass</v>
      </c>
      <c r="D4" t="str" cm="1">
        <f t="array" ref="D4">_xlfn.IFS(B4&gt;=80,"A",B4&gt;=60,"B",B4&lt;60,"Pass",B4&lt;33,"Fail")</f>
        <v>Pass</v>
      </c>
    </row>
    <row r="5" spans="1:4">
      <c r="A5" t="s">
        <v>1526</v>
      </c>
      <c r="B5">
        <v>30</v>
      </c>
      <c r="C5" t="str">
        <f t="shared" si="0"/>
        <v>Fail</v>
      </c>
      <c r="D5" t="str" cm="1">
        <f t="array" ref="D5">_xlfn.IFS(B5&gt;=80,"A",B5&gt;=60,"B",B5&lt;60,"Pass",B5&lt;33,"Fail")</f>
        <v>Pass</v>
      </c>
    </row>
    <row r="6" spans="1:4">
      <c r="A6" t="s">
        <v>1527</v>
      </c>
      <c r="B6">
        <v>89</v>
      </c>
      <c r="C6" t="str">
        <f t="shared" si="0"/>
        <v>Pass</v>
      </c>
      <c r="D6" t="str" cm="1">
        <f t="array" ref="D6">_xlfn.IFS(B6&gt;=80,"A",B6&gt;=60,"B",B6&lt;60,"Pass",B6&lt;33,"Fail")</f>
        <v>A</v>
      </c>
    </row>
    <row r="7" spans="1:4">
      <c r="A7" t="s">
        <v>1528</v>
      </c>
      <c r="B7">
        <v>83</v>
      </c>
      <c r="C7" t="str">
        <f t="shared" si="0"/>
        <v>Pass</v>
      </c>
      <c r="D7" t="str" cm="1">
        <f t="array" ref="D7">_xlfn.IFS(B7&gt;=80,"A",B7&gt;=60,"B",B7&lt;60,"Pass",B7&lt;33,"Fail")</f>
        <v>A</v>
      </c>
    </row>
    <row r="8" spans="1:4">
      <c r="A8" t="s">
        <v>1529</v>
      </c>
      <c r="B8">
        <v>41</v>
      </c>
      <c r="C8" t="str">
        <f t="shared" si="0"/>
        <v>Pass</v>
      </c>
      <c r="D8" t="str" cm="1">
        <f t="array" ref="D8">_xlfn.IFS(B8&gt;=80,"A",B8&gt;=60,"B",B8&lt;60,"Pass",B8&lt;33,"Fail")</f>
        <v>Pass</v>
      </c>
    </row>
    <row r="9" spans="1:4">
      <c r="A9" t="s">
        <v>1530</v>
      </c>
      <c r="B9">
        <v>23</v>
      </c>
      <c r="C9" t="str">
        <f t="shared" si="0"/>
        <v>Fail</v>
      </c>
      <c r="D9" t="str" cm="1">
        <f t="array" ref="D9">_xlfn.IFS(B9&gt;=80,"A",B9&gt;=60,"B",B9&lt;60,"Pass",B9&lt;33,"Fail")</f>
        <v>Pass</v>
      </c>
    </row>
    <row r="10" spans="1:4">
      <c r="A10" t="s">
        <v>1531</v>
      </c>
      <c r="B10">
        <v>16</v>
      </c>
      <c r="C10" t="str">
        <f t="shared" si="0"/>
        <v>Fail</v>
      </c>
      <c r="D10" t="str" cm="1">
        <f t="array" ref="D10">_xlfn.IFS(B10&gt;=80,"A",B10&gt;=60,"B",B10&lt;60,"Pass",B10&lt;33,"Fail")</f>
        <v>Pass</v>
      </c>
    </row>
    <row r="11" spans="1:4">
      <c r="A11" t="s">
        <v>1532</v>
      </c>
      <c r="B11">
        <v>36</v>
      </c>
      <c r="C11" t="str">
        <f t="shared" si="0"/>
        <v>Pass</v>
      </c>
      <c r="D11" t="str" cm="1">
        <f t="array" ref="D11">_xlfn.IFS(B11&gt;=80,"A",B11&gt;=60,"B",B11&lt;60,"Pass",B11&lt;33,"Fail")</f>
        <v>Pass</v>
      </c>
    </row>
    <row r="12" spans="1:4">
      <c r="A12" t="s">
        <v>1533</v>
      </c>
      <c r="B12">
        <v>21</v>
      </c>
      <c r="C12" t="str">
        <f t="shared" si="0"/>
        <v>Fail</v>
      </c>
      <c r="D12" t="str" cm="1">
        <f t="array" ref="D12">_xlfn.IFS(B12&gt;=80,"A",B12&gt;=60,"B",B12&lt;60,"Pass",B12&lt;33,"Fail")</f>
        <v>Pass</v>
      </c>
    </row>
    <row r="13" spans="1:4">
      <c r="A13" t="s">
        <v>1534</v>
      </c>
      <c r="B13">
        <v>91</v>
      </c>
      <c r="C13" t="str">
        <f t="shared" si="0"/>
        <v>Pass</v>
      </c>
      <c r="D13" t="str" cm="1">
        <f t="array" ref="D13">_xlfn.IFS(B13&gt;=80,"A",B13&gt;=60,"B",B13&lt;60,"Pass",B13&lt;33,"Fail")</f>
        <v>A</v>
      </c>
    </row>
    <row r="14" spans="1:4">
      <c r="A14" t="s">
        <v>1535</v>
      </c>
      <c r="B14">
        <v>26</v>
      </c>
      <c r="C14" t="str">
        <f t="shared" si="0"/>
        <v>Fail</v>
      </c>
      <c r="D14" t="str" cm="1">
        <f t="array" ref="D14">_xlfn.IFS(B14&gt;=80,"A",B14&gt;=60,"B",B14&lt;60,"Pass",B14&lt;33,"Fail")</f>
        <v>Pass</v>
      </c>
    </row>
    <row r="15" spans="1:4">
      <c r="A15" t="s">
        <v>1536</v>
      </c>
      <c r="B15">
        <v>0</v>
      </c>
      <c r="C15" t="str">
        <f t="shared" si="0"/>
        <v>Fail</v>
      </c>
      <c r="D15" t="str" cm="1">
        <f t="array" ref="D15">_xlfn.IFS(B15&gt;=80,"A",B15&gt;=60,"B",B15&lt;60,"Pass",B15&lt;33,"Fail")</f>
        <v>Pass</v>
      </c>
    </row>
    <row r="16" spans="1:4">
      <c r="A16" t="s">
        <v>1537</v>
      </c>
      <c r="B16">
        <v>83</v>
      </c>
      <c r="C16" t="str">
        <f t="shared" si="0"/>
        <v>Pass</v>
      </c>
      <c r="D16" t="str" cm="1">
        <f t="array" ref="D16">_xlfn.IFS(B16&gt;=80,"A",B16&gt;=60,"B",B16&lt;60,"Pass",B16&lt;33,"Fail")</f>
        <v>A</v>
      </c>
    </row>
    <row r="17" spans="1:4">
      <c r="A17" t="s">
        <v>1538</v>
      </c>
      <c r="B17">
        <v>98</v>
      </c>
      <c r="C17" t="str">
        <f t="shared" si="0"/>
        <v>Pass</v>
      </c>
      <c r="D17" t="str" cm="1">
        <f t="array" ref="D17">_xlfn.IFS(B17&gt;=80,"A",B17&gt;=60,"B",B17&lt;60,"Pass",B17&lt;33,"Fail")</f>
        <v>A</v>
      </c>
    </row>
    <row r="18" spans="1:4">
      <c r="A18" t="s">
        <v>1539</v>
      </c>
      <c r="B18">
        <v>66</v>
      </c>
      <c r="C18" t="str">
        <f t="shared" si="0"/>
        <v>Pass</v>
      </c>
      <c r="D18" t="str" cm="1">
        <f t="array" ref="D18">_xlfn.IFS(B18&gt;=80,"A",B18&gt;=60,"B",B18&lt;60,"Pass",B18&lt;33,"Fail")</f>
        <v>B</v>
      </c>
    </row>
    <row r="19" spans="1:4">
      <c r="A19" t="s">
        <v>1540</v>
      </c>
      <c r="B19">
        <v>65</v>
      </c>
      <c r="C19" t="str">
        <f t="shared" si="0"/>
        <v>Pass</v>
      </c>
      <c r="D19" t="str" cm="1">
        <f t="array" ref="D19">_xlfn.IFS(B19&gt;=80,"A",B19&gt;=60,"B",B19&lt;60,"Pass",B19&lt;33,"Fail")</f>
        <v>B</v>
      </c>
    </row>
    <row r="20" spans="1:4">
      <c r="A20" t="s">
        <v>1541</v>
      </c>
      <c r="B20">
        <v>29</v>
      </c>
      <c r="C20" t="str">
        <f t="shared" si="0"/>
        <v>Fail</v>
      </c>
      <c r="D20" t="str" cm="1">
        <f t="array" ref="D20">_xlfn.IFS(B20&gt;=80,"A",B20&gt;=60,"B",B20&lt;60,"Pass",B20&lt;33,"Fail")</f>
        <v>Pass</v>
      </c>
    </row>
    <row r="21" spans="1:4">
      <c r="A21" t="s">
        <v>1542</v>
      </c>
      <c r="B21">
        <v>56</v>
      </c>
      <c r="C21" t="str">
        <f t="shared" si="0"/>
        <v>Pass</v>
      </c>
      <c r="D21" t="str" cm="1">
        <f t="array" ref="D21">_xlfn.IFS(B21&gt;=80,"A",B21&gt;=60,"B",B21&lt;60,"Pass",B21&lt;33,"Fail")</f>
        <v>Pass</v>
      </c>
    </row>
    <row r="22" spans="1:4">
      <c r="A22" t="s">
        <v>1543</v>
      </c>
      <c r="B22">
        <v>1</v>
      </c>
      <c r="C22" t="str">
        <f t="shared" si="0"/>
        <v>Fail</v>
      </c>
      <c r="D22" t="str" cm="1">
        <f t="array" ref="D22">_xlfn.IFS(B22&gt;=80,"A",B22&gt;=60,"B",B22&lt;60,"Pass",B22&lt;33,"Fail")</f>
        <v>Pass</v>
      </c>
    </row>
    <row r="23" spans="1:4">
      <c r="A23" t="s">
        <v>1544</v>
      </c>
      <c r="B23">
        <v>68</v>
      </c>
      <c r="C23" t="str">
        <f t="shared" si="0"/>
        <v>Pass</v>
      </c>
      <c r="D23" t="str" cm="1">
        <f t="array" ref="D23">_xlfn.IFS(B23&gt;=80,"A",B23&gt;=60,"B",B23&lt;60,"Pass",B23&lt;33,"Fail")</f>
        <v>B</v>
      </c>
    </row>
    <row r="24" spans="1:4">
      <c r="A24" t="s">
        <v>1545</v>
      </c>
      <c r="B24">
        <v>92</v>
      </c>
      <c r="C24" t="str">
        <f t="shared" si="0"/>
        <v>Pass</v>
      </c>
      <c r="D24" t="str" cm="1">
        <f t="array" ref="D24">_xlfn.IFS(B24&gt;=80,"A",B24&gt;=60,"B",B24&lt;60,"Pass",B24&lt;33,"Fail")</f>
        <v>A</v>
      </c>
    </row>
    <row r="25" spans="1:4">
      <c r="A25" t="s">
        <v>1546</v>
      </c>
      <c r="B25">
        <v>46</v>
      </c>
      <c r="C25" t="str">
        <f t="shared" si="0"/>
        <v>Pass</v>
      </c>
      <c r="D25" t="str" cm="1">
        <f t="array" ref="D25">_xlfn.IFS(B25&gt;=80,"A",B25&gt;=60,"B",B25&lt;60,"Pass",B25&lt;33,"Fail")</f>
        <v>Pass</v>
      </c>
    </row>
    <row r="26" spans="1:4">
      <c r="A26" t="s">
        <v>1547</v>
      </c>
      <c r="B26">
        <v>39</v>
      </c>
      <c r="C26" t="str">
        <f t="shared" si="0"/>
        <v>Pass</v>
      </c>
      <c r="D26" t="str" cm="1">
        <f t="array" ref="D26">_xlfn.IFS(B26&gt;=80,"A",B26&gt;=60,"B",B26&lt;60,"Pass",B26&lt;33,"Fail")</f>
        <v>Pass</v>
      </c>
    </row>
    <row r="27" spans="1:4">
      <c r="A27" t="s">
        <v>1548</v>
      </c>
      <c r="B27">
        <v>85</v>
      </c>
      <c r="C27" t="str">
        <f t="shared" si="0"/>
        <v>Pass</v>
      </c>
      <c r="D27" t="str" cm="1">
        <f t="array" ref="D27">_xlfn.IFS(B27&gt;=80,"A",B27&gt;=60,"B",B27&lt;60,"Pass",B27&lt;33,"Fail")</f>
        <v>A</v>
      </c>
    </row>
    <row r="28" spans="1:4">
      <c r="A28" t="s">
        <v>1549</v>
      </c>
      <c r="B28">
        <v>82</v>
      </c>
      <c r="C28" t="str">
        <f t="shared" si="0"/>
        <v>Pass</v>
      </c>
      <c r="D28" t="str" cm="1">
        <f t="array" ref="D28">_xlfn.IFS(B28&gt;=80,"A",B28&gt;=60,"B",B28&lt;60,"Pass",B28&lt;33,"Fail")</f>
        <v>A</v>
      </c>
    </row>
    <row r="29" spans="1:4">
      <c r="A29" t="s">
        <v>1550</v>
      </c>
      <c r="B29">
        <v>44</v>
      </c>
      <c r="C29" t="str">
        <f t="shared" si="0"/>
        <v>Pass</v>
      </c>
      <c r="D29" t="str" cm="1">
        <f t="array" ref="D29">_xlfn.IFS(B29&gt;=80,"A",B29&gt;=60,"B",B29&lt;60,"Pass",B29&lt;33,"Fail")</f>
        <v>Pass</v>
      </c>
    </row>
    <row r="30" spans="1:4">
      <c r="A30" t="s">
        <v>1551</v>
      </c>
      <c r="B30">
        <v>86</v>
      </c>
      <c r="C30" t="str">
        <f t="shared" si="0"/>
        <v>Pass</v>
      </c>
      <c r="D30" t="str" cm="1">
        <f t="array" ref="D30">_xlfn.IFS(B30&gt;=80,"A",B30&gt;=60,"B",B30&lt;60,"Pass",B30&lt;33,"Fail")</f>
        <v>A</v>
      </c>
    </row>
    <row r="31" spans="1:4">
      <c r="A31" t="s">
        <v>1552</v>
      </c>
      <c r="B31">
        <v>3</v>
      </c>
      <c r="C31" t="str">
        <f t="shared" si="0"/>
        <v>Fail</v>
      </c>
      <c r="D31" t="str" cm="1">
        <f t="array" ref="D31">_xlfn.IFS(B31&gt;=80,"A",B31&gt;=60,"B",B31&lt;60,"Pass",B31&lt;33,"Fail")</f>
        <v>Pass</v>
      </c>
    </row>
    <row r="32" spans="1:4">
      <c r="A32" t="s">
        <v>1553</v>
      </c>
      <c r="B32">
        <v>10</v>
      </c>
      <c r="C32" t="str">
        <f t="shared" si="0"/>
        <v>Fail</v>
      </c>
      <c r="D32" t="str" cm="1">
        <f t="array" ref="D32">_xlfn.IFS(B32&gt;=80,"A",B32&gt;=60,"B",B32&lt;60,"Pass",B32&lt;33,"Fail")</f>
        <v>Pass</v>
      </c>
    </row>
    <row r="33" spans="1:4">
      <c r="A33" t="s">
        <v>1554</v>
      </c>
      <c r="B33">
        <v>5</v>
      </c>
      <c r="C33" t="str">
        <f t="shared" si="0"/>
        <v>Fail</v>
      </c>
      <c r="D33" t="str" cm="1">
        <f t="array" ref="D33">_xlfn.IFS(B33&gt;=80,"A",B33&gt;=60,"B",B33&lt;60,"Pass",B33&lt;33,"Fail")</f>
        <v>Pass</v>
      </c>
    </row>
    <row r="34" spans="1:4">
      <c r="A34" t="s">
        <v>1555</v>
      </c>
      <c r="B34">
        <v>69</v>
      </c>
      <c r="C34" t="str">
        <f t="shared" si="0"/>
        <v>Pass</v>
      </c>
      <c r="D34" t="str" cm="1">
        <f t="array" ref="D34">_xlfn.IFS(B34&gt;=80,"A",B34&gt;=60,"B",B34&lt;60,"Pass",B34&lt;33,"Fail")</f>
        <v>B</v>
      </c>
    </row>
    <row r="35" spans="1:4">
      <c r="A35" t="s">
        <v>1556</v>
      </c>
      <c r="B35">
        <v>56</v>
      </c>
      <c r="C35" t="str">
        <f t="shared" si="0"/>
        <v>Pass</v>
      </c>
      <c r="D35" t="str" cm="1">
        <f t="array" ref="D35">_xlfn.IFS(B35&gt;=80,"A",B35&gt;=60,"B",B35&lt;60,"Pass",B35&lt;33,"Fail")</f>
        <v>Pass</v>
      </c>
    </row>
    <row r="36" spans="1:4">
      <c r="A36" t="s">
        <v>1557</v>
      </c>
      <c r="B36">
        <v>33</v>
      </c>
      <c r="C36" t="str">
        <f t="shared" si="0"/>
        <v>Pass</v>
      </c>
      <c r="D36" t="str" cm="1">
        <f t="array" ref="D36">_xlfn.IFS(B36&gt;=80,"A",B36&gt;=60,"B",B36&lt;60,"Pass",B36&lt;33,"Fail")</f>
        <v>Pass</v>
      </c>
    </row>
    <row r="37" spans="1:4">
      <c r="A37" t="s">
        <v>1558</v>
      </c>
      <c r="B37">
        <v>67</v>
      </c>
      <c r="C37" t="str">
        <f t="shared" si="0"/>
        <v>Pass</v>
      </c>
      <c r="D37" t="str" cm="1">
        <f t="array" ref="D37">_xlfn.IFS(B37&gt;=80,"A",B37&gt;=60,"B",B37&lt;60,"Pass",B37&lt;33,"Fail")</f>
        <v>B</v>
      </c>
    </row>
    <row r="38" spans="1:4">
      <c r="A38" t="s">
        <v>1559</v>
      </c>
      <c r="B38">
        <v>16</v>
      </c>
      <c r="C38" t="str">
        <f t="shared" si="0"/>
        <v>Fail</v>
      </c>
      <c r="D38" t="str" cm="1">
        <f t="array" ref="D38">_xlfn.IFS(B38&gt;=80,"A",B38&gt;=60,"B",B38&lt;60,"Pass",B38&lt;33,"Fail")</f>
        <v>Pass</v>
      </c>
    </row>
    <row r="39" spans="1:4">
      <c r="A39" t="s">
        <v>1560</v>
      </c>
      <c r="B39">
        <v>52</v>
      </c>
      <c r="C39" t="str">
        <f t="shared" si="0"/>
        <v>Pass</v>
      </c>
      <c r="D39" t="str" cm="1">
        <f t="array" ref="D39">_xlfn.IFS(B39&gt;=80,"A",B39&gt;=60,"B",B39&lt;60,"Pass",B39&lt;33,"Fail")</f>
        <v>Pass</v>
      </c>
    </row>
    <row r="40" spans="1:4">
      <c r="A40" t="s">
        <v>1561</v>
      </c>
      <c r="B40">
        <v>81</v>
      </c>
      <c r="C40" t="str">
        <f t="shared" si="0"/>
        <v>Pass</v>
      </c>
      <c r="D40" t="str" cm="1">
        <f t="array" ref="D40">_xlfn.IFS(B40&gt;=80,"A",B40&gt;=60,"B",B40&lt;60,"Pass",B40&lt;33,"Fail")</f>
        <v>A</v>
      </c>
    </row>
    <row r="41" spans="1:4">
      <c r="A41" t="s">
        <v>1562</v>
      </c>
      <c r="B41">
        <v>48</v>
      </c>
      <c r="C41" t="str">
        <f t="shared" si="0"/>
        <v>Pass</v>
      </c>
      <c r="D41" t="str" cm="1">
        <f t="array" ref="D41">_xlfn.IFS(B41&gt;=80,"A",B41&gt;=60,"B",B41&lt;60,"Pass",B41&lt;33,"Fail")</f>
        <v>Pass</v>
      </c>
    </row>
    <row r="42" spans="1:4">
      <c r="A42" t="s">
        <v>1563</v>
      </c>
      <c r="B42">
        <v>19</v>
      </c>
      <c r="C42" t="str">
        <f t="shared" si="0"/>
        <v>Fail</v>
      </c>
      <c r="D42" t="str" cm="1">
        <f t="array" ref="D42">_xlfn.IFS(B42&gt;=80,"A",B42&gt;=60,"B",B42&lt;60,"Pass",B42&lt;33,"Fail")</f>
        <v>Pass</v>
      </c>
    </row>
    <row r="43" spans="1:4">
      <c r="A43" t="s">
        <v>1564</v>
      </c>
      <c r="B43">
        <v>89</v>
      </c>
      <c r="C43" t="str">
        <f t="shared" si="0"/>
        <v>Pass</v>
      </c>
      <c r="D43" t="str" cm="1">
        <f t="array" ref="D43">_xlfn.IFS(B43&gt;=80,"A",B43&gt;=60,"B",B43&lt;60,"Pass",B43&lt;33,"Fail")</f>
        <v>A</v>
      </c>
    </row>
    <row r="44" spans="1:4">
      <c r="A44" t="s">
        <v>1565</v>
      </c>
      <c r="B44">
        <v>42</v>
      </c>
      <c r="C44" t="str">
        <f t="shared" si="0"/>
        <v>Pass</v>
      </c>
      <c r="D44" t="str" cm="1">
        <f t="array" ref="D44">_xlfn.IFS(B44&gt;=80,"A",B44&gt;=60,"B",B44&lt;60,"Pass",B44&lt;33,"Fail")</f>
        <v>Pass</v>
      </c>
    </row>
    <row r="45" spans="1:4">
      <c r="A45" t="s">
        <v>1566</v>
      </c>
      <c r="B45">
        <v>86</v>
      </c>
      <c r="C45" t="str">
        <f t="shared" si="0"/>
        <v>Pass</v>
      </c>
      <c r="D45" t="str" cm="1">
        <f t="array" ref="D45">_xlfn.IFS(B45&gt;=80,"A",B45&gt;=60,"B",B45&lt;60,"Pass",B45&lt;33,"Fail")</f>
        <v>A</v>
      </c>
    </row>
    <row r="46" spans="1:4">
      <c r="A46" t="s">
        <v>1567</v>
      </c>
      <c r="B46">
        <v>38</v>
      </c>
      <c r="C46" t="str">
        <f t="shared" si="0"/>
        <v>Pass</v>
      </c>
      <c r="D46" t="str" cm="1">
        <f t="array" ref="D46">_xlfn.IFS(B46&gt;=80,"A",B46&gt;=60,"B",B46&lt;60,"Pass",B46&lt;33,"Fail")</f>
        <v>Pass</v>
      </c>
    </row>
    <row r="47" spans="1:4">
      <c r="A47" t="s">
        <v>1568</v>
      </c>
      <c r="B47">
        <v>65</v>
      </c>
      <c r="C47" t="str">
        <f t="shared" si="0"/>
        <v>Pass</v>
      </c>
      <c r="D47" t="str" cm="1">
        <f t="array" ref="D47">_xlfn.IFS(B47&gt;=80,"A",B47&gt;=60,"B",B47&lt;60,"Pass",B47&lt;33,"Fail")</f>
        <v>B</v>
      </c>
    </row>
    <row r="48" spans="1:4">
      <c r="A48" t="s">
        <v>1569</v>
      </c>
      <c r="B48">
        <v>23</v>
      </c>
      <c r="C48" t="str">
        <f t="shared" si="0"/>
        <v>Fail</v>
      </c>
      <c r="D48" t="str" cm="1">
        <f t="array" ref="D48">_xlfn.IFS(B48&gt;=80,"A",B48&gt;=60,"B",B48&lt;60,"Pass",B48&lt;33,"Fail")</f>
        <v>Pass</v>
      </c>
    </row>
    <row r="49" spans="1:4">
      <c r="A49" t="s">
        <v>1570</v>
      </c>
      <c r="B49">
        <v>57</v>
      </c>
      <c r="C49" t="str">
        <f t="shared" si="0"/>
        <v>Pass</v>
      </c>
      <c r="D49" t="str" cm="1">
        <f t="array" ref="D49">_xlfn.IFS(B49&gt;=80,"A",B49&gt;=60,"B",B49&lt;60,"Pass",B49&lt;33,"Fail")</f>
        <v>Pass</v>
      </c>
    </row>
    <row r="50" spans="1:4">
      <c r="A50" t="s">
        <v>1571</v>
      </c>
      <c r="B50">
        <v>11</v>
      </c>
      <c r="C50" t="str">
        <f t="shared" si="0"/>
        <v>Fail</v>
      </c>
      <c r="D50" t="str" cm="1">
        <f t="array" ref="D50">_xlfn.IFS(B50&gt;=80,"A",B50&gt;=60,"B",B50&lt;60,"Pass",B50&lt;33,"Fail")</f>
        <v>Pass</v>
      </c>
    </row>
    <row r="51" spans="1:4">
      <c r="A51" t="s">
        <v>1572</v>
      </c>
      <c r="B51">
        <v>28</v>
      </c>
      <c r="C51" t="str">
        <f t="shared" si="0"/>
        <v>Fail</v>
      </c>
      <c r="D51" t="str" cm="1">
        <f t="array" ref="D51">_xlfn.IFS(B51&gt;=80,"A",B51&gt;=60,"B",B51&lt;60,"Pass",B51&lt;33,"Fail")</f>
        <v>Pass</v>
      </c>
    </row>
    <row r="52" spans="1:4">
      <c r="A52" t="s">
        <v>1573</v>
      </c>
      <c r="B52">
        <v>26</v>
      </c>
      <c r="C52" t="str">
        <f t="shared" si="0"/>
        <v>Fail</v>
      </c>
      <c r="D52" t="str" cm="1">
        <f t="array" ref="D52">_xlfn.IFS(B52&gt;=80,"A",B52&gt;=60,"B",B52&lt;60,"Pass",B52&lt;33,"Fail")</f>
        <v>Pass</v>
      </c>
    </row>
    <row r="53" spans="1:4">
      <c r="A53" t="s">
        <v>1574</v>
      </c>
      <c r="B53">
        <v>21</v>
      </c>
      <c r="C53" t="str">
        <f t="shared" si="0"/>
        <v>Fail</v>
      </c>
      <c r="D53" t="str" cm="1">
        <f t="array" ref="D53">_xlfn.IFS(B53&gt;=80,"A",B53&gt;=60,"B",B53&lt;60,"Pass",B53&lt;33,"Fail")</f>
        <v>Pass</v>
      </c>
    </row>
    <row r="54" spans="1:4">
      <c r="A54" t="s">
        <v>1575</v>
      </c>
      <c r="B54">
        <v>0</v>
      </c>
      <c r="C54" t="str">
        <f t="shared" si="0"/>
        <v>Fail</v>
      </c>
      <c r="D54" t="str" cm="1">
        <f t="array" ref="D54">_xlfn.IFS(B54&gt;=80,"A",B54&gt;=60,"B",B54&lt;60,"Pass",B54&lt;33,"Fail")</f>
        <v>Pass</v>
      </c>
    </row>
    <row r="55" spans="1:4">
      <c r="A55" t="s">
        <v>1576</v>
      </c>
      <c r="B55">
        <v>86</v>
      </c>
      <c r="C55" t="str">
        <f t="shared" si="0"/>
        <v>Pass</v>
      </c>
      <c r="D55" t="str" cm="1">
        <f t="array" ref="D55">_xlfn.IFS(B55&gt;=80,"A",B55&gt;=60,"B",B55&lt;60,"Pass",B55&lt;33,"Fail")</f>
        <v>A</v>
      </c>
    </row>
    <row r="56" spans="1:4">
      <c r="A56" t="s">
        <v>1577</v>
      </c>
      <c r="B56">
        <v>67</v>
      </c>
      <c r="C56" t="str">
        <f t="shared" si="0"/>
        <v>Pass</v>
      </c>
      <c r="D56" t="str" cm="1">
        <f t="array" ref="D56">_xlfn.IFS(B56&gt;=80,"A",B56&gt;=60,"B",B56&lt;60,"Pass",B56&lt;33,"Fail")</f>
        <v>B</v>
      </c>
    </row>
    <row r="57" spans="1:4">
      <c r="A57" t="s">
        <v>1578</v>
      </c>
      <c r="B57">
        <v>36</v>
      </c>
      <c r="C57" t="str">
        <f t="shared" si="0"/>
        <v>Pass</v>
      </c>
      <c r="D57" t="str" cm="1">
        <f t="array" ref="D57">_xlfn.IFS(B57&gt;=80,"A",B57&gt;=60,"B",B57&lt;60,"Pass",B57&lt;33,"Fail")</f>
        <v>Pass</v>
      </c>
    </row>
    <row r="58" spans="1:4">
      <c r="A58" t="s">
        <v>1579</v>
      </c>
      <c r="B58">
        <v>47</v>
      </c>
      <c r="C58" t="str">
        <f t="shared" si="0"/>
        <v>Pass</v>
      </c>
      <c r="D58" t="str" cm="1">
        <f t="array" ref="D58">_xlfn.IFS(B58&gt;=80,"A",B58&gt;=60,"B",B58&lt;60,"Pass",B58&lt;33,"Fail")</f>
        <v>Pass</v>
      </c>
    </row>
    <row r="59" spans="1:4">
      <c r="A59" t="s">
        <v>1580</v>
      </c>
      <c r="B59">
        <v>12</v>
      </c>
      <c r="C59" t="str">
        <f t="shared" si="0"/>
        <v>Fail</v>
      </c>
      <c r="D59" t="str" cm="1">
        <f t="array" ref="D59">_xlfn.IFS(B59&gt;=80,"A",B59&gt;=60,"B",B59&lt;60,"Pass",B59&lt;33,"Fail")</f>
        <v>Pass</v>
      </c>
    </row>
    <row r="60" spans="1:4">
      <c r="A60" t="s">
        <v>1581</v>
      </c>
      <c r="B60">
        <v>49</v>
      </c>
      <c r="C60" t="str">
        <f t="shared" si="0"/>
        <v>Pass</v>
      </c>
      <c r="D60" t="str" cm="1">
        <f t="array" ref="D60">_xlfn.IFS(B60&gt;=80,"A",B60&gt;=60,"B",B60&lt;60,"Pass",B60&lt;33,"Fail")</f>
        <v>Pass</v>
      </c>
    </row>
    <row r="61" spans="1:4">
      <c r="A61" t="s">
        <v>1582</v>
      </c>
      <c r="B61">
        <v>9</v>
      </c>
      <c r="C61" t="str">
        <f t="shared" si="0"/>
        <v>Fail</v>
      </c>
      <c r="D61" t="str" cm="1">
        <f t="array" ref="D61">_xlfn.IFS(B61&gt;=80,"A",B61&gt;=60,"B",B61&lt;60,"Pass",B61&lt;33,"Fail")</f>
        <v>Pass</v>
      </c>
    </row>
    <row r="62" spans="1:4">
      <c r="A62" t="s">
        <v>1583</v>
      </c>
      <c r="B62">
        <v>46</v>
      </c>
      <c r="C62" t="str">
        <f t="shared" si="0"/>
        <v>Pass</v>
      </c>
      <c r="D62" t="str" cm="1">
        <f t="array" ref="D62">_xlfn.IFS(B62&gt;=80,"A",B62&gt;=60,"B",B62&lt;60,"Pass",B62&lt;33,"Fail")</f>
        <v>Pass</v>
      </c>
    </row>
    <row r="63" spans="1:4">
      <c r="A63" t="s">
        <v>1584</v>
      </c>
      <c r="B63">
        <v>94</v>
      </c>
      <c r="C63" t="str">
        <f t="shared" si="0"/>
        <v>Pass</v>
      </c>
      <c r="D63" t="str" cm="1">
        <f t="array" ref="D63">_xlfn.IFS(B63&gt;=80,"A",B63&gt;=60,"B",B63&lt;60,"Pass",B63&lt;33,"Fail")</f>
        <v>A</v>
      </c>
    </row>
    <row r="64" spans="1:4">
      <c r="A64" t="s">
        <v>1585</v>
      </c>
      <c r="B64">
        <v>97</v>
      </c>
      <c r="C64" t="str">
        <f t="shared" si="0"/>
        <v>Pass</v>
      </c>
      <c r="D64" t="str" cm="1">
        <f t="array" ref="D64">_xlfn.IFS(B64&gt;=80,"A",B64&gt;=60,"B",B64&lt;60,"Pass",B64&lt;33,"Fail")</f>
        <v>A</v>
      </c>
    </row>
    <row r="65" spans="1:4">
      <c r="A65" t="s">
        <v>1586</v>
      </c>
      <c r="B65">
        <v>97</v>
      </c>
      <c r="C65" t="str">
        <f t="shared" si="0"/>
        <v>Pass</v>
      </c>
      <c r="D65" t="str" cm="1">
        <f t="array" ref="D65">_xlfn.IFS(B65&gt;=80,"A",B65&gt;=60,"B",B65&lt;60,"Pass",B65&lt;33,"Fail")</f>
        <v>A</v>
      </c>
    </row>
    <row r="66" spans="1:4">
      <c r="A66" t="s">
        <v>1587</v>
      </c>
      <c r="B66">
        <v>73</v>
      </c>
      <c r="C66" t="str">
        <f t="shared" si="0"/>
        <v>Pass</v>
      </c>
      <c r="D66" t="str" cm="1">
        <f t="array" ref="D66">_xlfn.IFS(B66&gt;=80,"A",B66&gt;=60,"B",B66&lt;60,"Pass",B66&lt;33,"Fail")</f>
        <v>B</v>
      </c>
    </row>
    <row r="67" spans="1:4">
      <c r="A67" t="s">
        <v>1588</v>
      </c>
      <c r="B67">
        <v>89</v>
      </c>
      <c r="C67" t="str">
        <f t="shared" ref="C67:C130" si="1">IF(B67&gt;=33,"Pass","Fail")</f>
        <v>Pass</v>
      </c>
      <c r="D67" t="str" cm="1">
        <f t="array" ref="D67">_xlfn.IFS(B67&gt;=80,"A",B67&gt;=60,"B",B67&lt;60,"Pass",B67&lt;33,"Fail")</f>
        <v>A</v>
      </c>
    </row>
    <row r="68" spans="1:4">
      <c r="A68" t="s">
        <v>1589</v>
      </c>
      <c r="B68">
        <v>16</v>
      </c>
      <c r="C68" t="str">
        <f t="shared" si="1"/>
        <v>Fail</v>
      </c>
      <c r="D68" t="str" cm="1">
        <f t="array" ref="D68">_xlfn.IFS(B68&gt;=80,"A",B68&gt;=60,"B",B68&lt;60,"Pass",B68&lt;33,"Fail")</f>
        <v>Pass</v>
      </c>
    </row>
    <row r="69" spans="1:4">
      <c r="A69" t="s">
        <v>1590</v>
      </c>
      <c r="B69">
        <v>10</v>
      </c>
      <c r="C69" t="str">
        <f t="shared" si="1"/>
        <v>Fail</v>
      </c>
      <c r="D69" t="str" cm="1">
        <f t="array" ref="D69">_xlfn.IFS(B69&gt;=80,"A",B69&gt;=60,"B",B69&lt;60,"Pass",B69&lt;33,"Fail")</f>
        <v>Pass</v>
      </c>
    </row>
    <row r="70" spans="1:4">
      <c r="A70" t="s">
        <v>1591</v>
      </c>
      <c r="B70">
        <v>85</v>
      </c>
      <c r="C70" t="str">
        <f t="shared" si="1"/>
        <v>Pass</v>
      </c>
      <c r="D70" t="str" cm="1">
        <f t="array" ref="D70">_xlfn.IFS(B70&gt;=80,"A",B70&gt;=60,"B",B70&lt;60,"Pass",B70&lt;33,"Fail")</f>
        <v>A</v>
      </c>
    </row>
    <row r="71" spans="1:4">
      <c r="A71" t="s">
        <v>1592</v>
      </c>
      <c r="B71">
        <v>56</v>
      </c>
      <c r="C71" t="str">
        <f t="shared" si="1"/>
        <v>Pass</v>
      </c>
      <c r="D71" t="str" cm="1">
        <f t="array" ref="D71">_xlfn.IFS(B71&gt;=80,"A",B71&gt;=60,"B",B71&lt;60,"Pass",B71&lt;33,"Fail")</f>
        <v>Pass</v>
      </c>
    </row>
    <row r="72" spans="1:4">
      <c r="A72" t="s">
        <v>1593</v>
      </c>
      <c r="B72">
        <v>21</v>
      </c>
      <c r="C72" t="str">
        <f t="shared" si="1"/>
        <v>Fail</v>
      </c>
      <c r="D72" t="str" cm="1">
        <f t="array" ref="D72">_xlfn.IFS(B72&gt;=80,"A",B72&gt;=60,"B",B72&lt;60,"Pass",B72&lt;33,"Fail")</f>
        <v>Pass</v>
      </c>
    </row>
    <row r="73" spans="1:4">
      <c r="A73" t="s">
        <v>1594</v>
      </c>
      <c r="B73">
        <v>93</v>
      </c>
      <c r="C73" t="str">
        <f t="shared" si="1"/>
        <v>Pass</v>
      </c>
      <c r="D73" t="str" cm="1">
        <f t="array" ref="D73">_xlfn.IFS(B73&gt;=80,"A",B73&gt;=60,"B",B73&lt;60,"Pass",B73&lt;33,"Fail")</f>
        <v>A</v>
      </c>
    </row>
    <row r="74" spans="1:4">
      <c r="A74" t="s">
        <v>1595</v>
      </c>
      <c r="B74">
        <v>33</v>
      </c>
      <c r="C74" t="str">
        <f t="shared" si="1"/>
        <v>Pass</v>
      </c>
      <c r="D74" t="str" cm="1">
        <f t="array" ref="D74">_xlfn.IFS(B74&gt;=80,"A",B74&gt;=60,"B",B74&lt;60,"Pass",B74&lt;33,"Fail")</f>
        <v>Pass</v>
      </c>
    </row>
    <row r="75" spans="1:4">
      <c r="A75" t="s">
        <v>1596</v>
      </c>
      <c r="B75">
        <v>82</v>
      </c>
      <c r="C75" t="str">
        <f t="shared" si="1"/>
        <v>Pass</v>
      </c>
      <c r="D75" t="str" cm="1">
        <f t="array" ref="D75">_xlfn.IFS(B75&gt;=80,"A",B75&gt;=60,"B",B75&lt;60,"Pass",B75&lt;33,"Fail")</f>
        <v>A</v>
      </c>
    </row>
    <row r="76" spans="1:4">
      <c r="A76" t="s">
        <v>1597</v>
      </c>
      <c r="B76">
        <v>30</v>
      </c>
      <c r="C76" t="str">
        <f t="shared" si="1"/>
        <v>Fail</v>
      </c>
      <c r="D76" t="str" cm="1">
        <f t="array" ref="D76">_xlfn.IFS(B76&gt;=80,"A",B76&gt;=60,"B",B76&lt;60,"Pass",B76&lt;33,"Fail")</f>
        <v>Pass</v>
      </c>
    </row>
    <row r="77" spans="1:4">
      <c r="A77" t="s">
        <v>1598</v>
      </c>
      <c r="B77">
        <v>51</v>
      </c>
      <c r="C77" t="str">
        <f t="shared" si="1"/>
        <v>Pass</v>
      </c>
      <c r="D77" t="str" cm="1">
        <f t="array" ref="D77">_xlfn.IFS(B77&gt;=80,"A",B77&gt;=60,"B",B77&lt;60,"Pass",B77&lt;33,"Fail")</f>
        <v>Pass</v>
      </c>
    </row>
    <row r="78" spans="1:4">
      <c r="A78" t="s">
        <v>1599</v>
      </c>
      <c r="B78">
        <v>85</v>
      </c>
      <c r="C78" t="str">
        <f t="shared" si="1"/>
        <v>Pass</v>
      </c>
      <c r="D78" t="str" cm="1">
        <f t="array" ref="D78">_xlfn.IFS(B78&gt;=80,"A",B78&gt;=60,"B",B78&lt;60,"Pass",B78&lt;33,"Fail")</f>
        <v>A</v>
      </c>
    </row>
    <row r="79" spans="1:4">
      <c r="A79" t="s">
        <v>1600</v>
      </c>
      <c r="B79">
        <v>1</v>
      </c>
      <c r="C79" t="str">
        <f t="shared" si="1"/>
        <v>Fail</v>
      </c>
      <c r="D79" t="str" cm="1">
        <f t="array" ref="D79">_xlfn.IFS(B79&gt;=80,"A",B79&gt;=60,"B",B79&lt;60,"Pass",B79&lt;33,"Fail")</f>
        <v>Pass</v>
      </c>
    </row>
    <row r="80" spans="1:4">
      <c r="A80" t="s">
        <v>1601</v>
      </c>
      <c r="B80">
        <v>40</v>
      </c>
      <c r="C80" t="str">
        <f t="shared" si="1"/>
        <v>Pass</v>
      </c>
      <c r="D80" t="str" cm="1">
        <f t="array" ref="D80">_xlfn.IFS(B80&gt;=80,"A",B80&gt;=60,"B",B80&lt;60,"Pass",B80&lt;33,"Fail")</f>
        <v>Pass</v>
      </c>
    </row>
    <row r="81" spans="1:4">
      <c r="A81" t="s">
        <v>1602</v>
      </c>
      <c r="B81">
        <v>27</v>
      </c>
      <c r="C81" t="str">
        <f t="shared" si="1"/>
        <v>Fail</v>
      </c>
      <c r="D81" t="str" cm="1">
        <f t="array" ref="D81">_xlfn.IFS(B81&gt;=80,"A",B81&gt;=60,"B",B81&lt;60,"Pass",B81&lt;33,"Fail")</f>
        <v>Pass</v>
      </c>
    </row>
    <row r="82" spans="1:4">
      <c r="A82" t="s">
        <v>1603</v>
      </c>
      <c r="B82">
        <v>87</v>
      </c>
      <c r="C82" t="str">
        <f t="shared" si="1"/>
        <v>Pass</v>
      </c>
      <c r="D82" t="str" cm="1">
        <f t="array" ref="D82">_xlfn.IFS(B82&gt;=80,"A",B82&gt;=60,"B",B82&lt;60,"Pass",B82&lt;33,"Fail")</f>
        <v>A</v>
      </c>
    </row>
    <row r="83" spans="1:4">
      <c r="A83" t="s">
        <v>1604</v>
      </c>
      <c r="B83">
        <v>98</v>
      </c>
      <c r="C83" t="str">
        <f t="shared" si="1"/>
        <v>Pass</v>
      </c>
      <c r="D83" t="str" cm="1">
        <f t="array" ref="D83">_xlfn.IFS(B83&gt;=80,"A",B83&gt;=60,"B",B83&lt;60,"Pass",B83&lt;33,"Fail")</f>
        <v>A</v>
      </c>
    </row>
    <row r="84" spans="1:4">
      <c r="A84" t="s">
        <v>1605</v>
      </c>
      <c r="B84">
        <v>37</v>
      </c>
      <c r="C84" t="str">
        <f t="shared" si="1"/>
        <v>Pass</v>
      </c>
      <c r="D84" t="str" cm="1">
        <f t="array" ref="D84">_xlfn.IFS(B84&gt;=80,"A",B84&gt;=60,"B",B84&lt;60,"Pass",B84&lt;33,"Fail")</f>
        <v>Pass</v>
      </c>
    </row>
    <row r="85" spans="1:4">
      <c r="A85" t="s">
        <v>1606</v>
      </c>
      <c r="B85">
        <v>82</v>
      </c>
      <c r="C85" t="str">
        <f t="shared" si="1"/>
        <v>Pass</v>
      </c>
      <c r="D85" t="str" cm="1">
        <f t="array" ref="D85">_xlfn.IFS(B85&gt;=80,"A",B85&gt;=60,"B",B85&lt;60,"Pass",B85&lt;33,"Fail")</f>
        <v>A</v>
      </c>
    </row>
    <row r="86" spans="1:4">
      <c r="A86" t="s">
        <v>1607</v>
      </c>
      <c r="B86">
        <v>74</v>
      </c>
      <c r="C86" t="str">
        <f t="shared" si="1"/>
        <v>Pass</v>
      </c>
      <c r="D86" t="str" cm="1">
        <f t="array" ref="D86">_xlfn.IFS(B86&gt;=80,"A",B86&gt;=60,"B",B86&lt;60,"Pass",B86&lt;33,"Fail")</f>
        <v>B</v>
      </c>
    </row>
    <row r="87" spans="1:4">
      <c r="A87" t="s">
        <v>1608</v>
      </c>
      <c r="B87">
        <v>51</v>
      </c>
      <c r="C87" t="str">
        <f t="shared" si="1"/>
        <v>Pass</v>
      </c>
      <c r="D87" t="str" cm="1">
        <f t="array" ref="D87">_xlfn.IFS(B87&gt;=80,"A",B87&gt;=60,"B",B87&lt;60,"Pass",B87&lt;33,"Fail")</f>
        <v>Pass</v>
      </c>
    </row>
    <row r="88" spans="1:4">
      <c r="A88" t="s">
        <v>1609</v>
      </c>
      <c r="B88">
        <v>94</v>
      </c>
      <c r="C88" t="str">
        <f t="shared" si="1"/>
        <v>Pass</v>
      </c>
      <c r="D88" t="str" cm="1">
        <f t="array" ref="D88">_xlfn.IFS(B88&gt;=80,"A",B88&gt;=60,"B",B88&lt;60,"Pass",B88&lt;33,"Fail")</f>
        <v>A</v>
      </c>
    </row>
    <row r="89" spans="1:4">
      <c r="A89" t="s">
        <v>1610</v>
      </c>
      <c r="B89">
        <v>95</v>
      </c>
      <c r="C89" t="str">
        <f t="shared" si="1"/>
        <v>Pass</v>
      </c>
      <c r="D89" t="str" cm="1">
        <f t="array" ref="D89">_xlfn.IFS(B89&gt;=80,"A",B89&gt;=60,"B",B89&lt;60,"Pass",B89&lt;33,"Fail")</f>
        <v>A</v>
      </c>
    </row>
    <row r="90" spans="1:4">
      <c r="A90" t="s">
        <v>1611</v>
      </c>
      <c r="B90">
        <v>8</v>
      </c>
      <c r="C90" t="str">
        <f t="shared" si="1"/>
        <v>Fail</v>
      </c>
      <c r="D90" t="str" cm="1">
        <f t="array" ref="D90">_xlfn.IFS(B90&gt;=80,"A",B90&gt;=60,"B",B90&lt;60,"Pass",B90&lt;33,"Fail")</f>
        <v>Pass</v>
      </c>
    </row>
    <row r="91" spans="1:4">
      <c r="A91" t="s">
        <v>1612</v>
      </c>
      <c r="B91">
        <v>82</v>
      </c>
      <c r="C91" t="str">
        <f t="shared" si="1"/>
        <v>Pass</v>
      </c>
      <c r="D91" t="str" cm="1">
        <f t="array" ref="D91">_xlfn.IFS(B91&gt;=80,"A",B91&gt;=60,"B",B91&lt;60,"Pass",B91&lt;33,"Fail")</f>
        <v>A</v>
      </c>
    </row>
    <row r="92" spans="1:4">
      <c r="A92" t="s">
        <v>1613</v>
      </c>
      <c r="B92">
        <v>52</v>
      </c>
      <c r="C92" t="str">
        <f t="shared" si="1"/>
        <v>Pass</v>
      </c>
      <c r="D92" t="str" cm="1">
        <f t="array" ref="D92">_xlfn.IFS(B92&gt;=80,"A",B92&gt;=60,"B",B92&lt;60,"Pass",B92&lt;33,"Fail")</f>
        <v>Pass</v>
      </c>
    </row>
    <row r="93" spans="1:4">
      <c r="A93" t="s">
        <v>1614</v>
      </c>
      <c r="B93">
        <v>23</v>
      </c>
      <c r="C93" t="str">
        <f t="shared" si="1"/>
        <v>Fail</v>
      </c>
      <c r="D93" t="str" cm="1">
        <f t="array" ref="D93">_xlfn.IFS(B93&gt;=80,"A",B93&gt;=60,"B",B93&lt;60,"Pass",B93&lt;33,"Fail")</f>
        <v>Pass</v>
      </c>
    </row>
    <row r="94" spans="1:4">
      <c r="A94" t="s">
        <v>1615</v>
      </c>
      <c r="B94">
        <v>30</v>
      </c>
      <c r="C94" t="str">
        <f t="shared" si="1"/>
        <v>Fail</v>
      </c>
      <c r="D94" t="str" cm="1">
        <f t="array" ref="D94">_xlfn.IFS(B94&gt;=80,"A",B94&gt;=60,"B",B94&lt;60,"Pass",B94&lt;33,"Fail")</f>
        <v>Pass</v>
      </c>
    </row>
    <row r="95" spans="1:4">
      <c r="A95" t="s">
        <v>1616</v>
      </c>
      <c r="B95">
        <v>7</v>
      </c>
      <c r="C95" t="str">
        <f t="shared" si="1"/>
        <v>Fail</v>
      </c>
      <c r="D95" t="str" cm="1">
        <f t="array" ref="D95">_xlfn.IFS(B95&gt;=80,"A",B95&gt;=60,"B",B95&lt;60,"Pass",B95&lt;33,"Fail")</f>
        <v>Pass</v>
      </c>
    </row>
    <row r="96" spans="1:4">
      <c r="A96" t="s">
        <v>1617</v>
      </c>
      <c r="B96">
        <v>11</v>
      </c>
      <c r="C96" t="str">
        <f t="shared" si="1"/>
        <v>Fail</v>
      </c>
      <c r="D96" t="str" cm="1">
        <f t="array" ref="D96">_xlfn.IFS(B96&gt;=80,"A",B96&gt;=60,"B",B96&lt;60,"Pass",B96&lt;33,"Fail")</f>
        <v>Pass</v>
      </c>
    </row>
    <row r="97" spans="1:4">
      <c r="A97" t="s">
        <v>1618</v>
      </c>
      <c r="B97">
        <v>8</v>
      </c>
      <c r="C97" t="str">
        <f t="shared" si="1"/>
        <v>Fail</v>
      </c>
      <c r="D97" t="str" cm="1">
        <f t="array" ref="D97">_xlfn.IFS(B97&gt;=80,"A",B97&gt;=60,"B",B97&lt;60,"Pass",B97&lt;33,"Fail")</f>
        <v>Pass</v>
      </c>
    </row>
    <row r="98" spans="1:4">
      <c r="A98" t="s">
        <v>1619</v>
      </c>
      <c r="B98">
        <v>73</v>
      </c>
      <c r="C98" t="str">
        <f t="shared" si="1"/>
        <v>Pass</v>
      </c>
      <c r="D98" t="str" cm="1">
        <f t="array" ref="D98">_xlfn.IFS(B98&gt;=80,"A",B98&gt;=60,"B",B98&lt;60,"Pass",B98&lt;33,"Fail")</f>
        <v>B</v>
      </c>
    </row>
    <row r="99" spans="1:4">
      <c r="A99" t="s">
        <v>1620</v>
      </c>
      <c r="B99">
        <v>10</v>
      </c>
      <c r="C99" t="str">
        <f t="shared" si="1"/>
        <v>Fail</v>
      </c>
      <c r="D99" t="str" cm="1">
        <f t="array" ref="D99">_xlfn.IFS(B99&gt;=80,"A",B99&gt;=60,"B",B99&lt;60,"Pass",B99&lt;33,"Fail")</f>
        <v>Pass</v>
      </c>
    </row>
    <row r="100" spans="1:4">
      <c r="A100" t="s">
        <v>1621</v>
      </c>
      <c r="B100">
        <v>92</v>
      </c>
      <c r="C100" t="str">
        <f t="shared" si="1"/>
        <v>Pass</v>
      </c>
      <c r="D100" t="str" cm="1">
        <f t="array" ref="D100">_xlfn.IFS(B100&gt;=80,"A",B100&gt;=60,"B",B100&lt;60,"Pass",B100&lt;33,"Fail")</f>
        <v>A</v>
      </c>
    </row>
    <row r="101" spans="1:4">
      <c r="A101" t="s">
        <v>1622</v>
      </c>
      <c r="B101">
        <v>49</v>
      </c>
      <c r="C101" t="str">
        <f t="shared" si="1"/>
        <v>Pass</v>
      </c>
      <c r="D101" t="str" cm="1">
        <f t="array" ref="D101">_xlfn.IFS(B101&gt;=80,"A",B101&gt;=60,"B",B101&lt;60,"Pass",B101&lt;33,"Fail")</f>
        <v>Pass</v>
      </c>
    </row>
    <row r="102" spans="1:4">
      <c r="A102" t="s">
        <v>1623</v>
      </c>
      <c r="B102">
        <v>76</v>
      </c>
      <c r="C102" t="str">
        <f t="shared" si="1"/>
        <v>Pass</v>
      </c>
      <c r="D102" t="str" cm="1">
        <f t="array" ref="D102">_xlfn.IFS(B102&gt;=80,"A",B102&gt;=60,"B",B102&lt;60,"Pass",B102&lt;33,"Fail")</f>
        <v>B</v>
      </c>
    </row>
    <row r="103" spans="1:4">
      <c r="A103" t="s">
        <v>1624</v>
      </c>
      <c r="B103">
        <v>4</v>
      </c>
      <c r="C103" t="str">
        <f t="shared" si="1"/>
        <v>Fail</v>
      </c>
      <c r="D103" t="str" cm="1">
        <f t="array" ref="D103">_xlfn.IFS(B103&gt;=80,"A",B103&gt;=60,"B",B103&lt;60,"Pass",B103&lt;33,"Fail")</f>
        <v>Pass</v>
      </c>
    </row>
    <row r="104" spans="1:4">
      <c r="A104" t="s">
        <v>1625</v>
      </c>
      <c r="B104">
        <v>11</v>
      </c>
      <c r="C104" t="str">
        <f t="shared" si="1"/>
        <v>Fail</v>
      </c>
      <c r="D104" t="str" cm="1">
        <f t="array" ref="D104">_xlfn.IFS(B104&gt;=80,"A",B104&gt;=60,"B",B104&lt;60,"Pass",B104&lt;33,"Fail")</f>
        <v>Pass</v>
      </c>
    </row>
    <row r="105" spans="1:4">
      <c r="A105" t="s">
        <v>1626</v>
      </c>
      <c r="B105">
        <v>60</v>
      </c>
      <c r="C105" t="str">
        <f t="shared" si="1"/>
        <v>Pass</v>
      </c>
      <c r="D105" t="str" cm="1">
        <f t="array" ref="D105">_xlfn.IFS(B105&gt;=80,"A",B105&gt;=60,"B",B105&lt;60,"Pass",B105&lt;33,"Fail")</f>
        <v>B</v>
      </c>
    </row>
    <row r="106" spans="1:4">
      <c r="A106" t="s">
        <v>1627</v>
      </c>
      <c r="B106">
        <v>2</v>
      </c>
      <c r="C106" t="str">
        <f t="shared" si="1"/>
        <v>Fail</v>
      </c>
      <c r="D106" t="str" cm="1">
        <f t="array" ref="D106">_xlfn.IFS(B106&gt;=80,"A",B106&gt;=60,"B",B106&lt;60,"Pass",B106&lt;33,"Fail")</f>
        <v>Pass</v>
      </c>
    </row>
    <row r="107" spans="1:4">
      <c r="A107" t="s">
        <v>1628</v>
      </c>
      <c r="B107">
        <v>86</v>
      </c>
      <c r="C107" t="str">
        <f t="shared" si="1"/>
        <v>Pass</v>
      </c>
      <c r="D107" t="str" cm="1">
        <f t="array" ref="D107">_xlfn.IFS(B107&gt;=80,"A",B107&gt;=60,"B",B107&lt;60,"Pass",B107&lt;33,"Fail")</f>
        <v>A</v>
      </c>
    </row>
    <row r="108" spans="1:4">
      <c r="A108" t="s">
        <v>1629</v>
      </c>
      <c r="B108">
        <v>97</v>
      </c>
      <c r="C108" t="str">
        <f t="shared" si="1"/>
        <v>Pass</v>
      </c>
      <c r="D108" t="str" cm="1">
        <f t="array" ref="D108">_xlfn.IFS(B108&gt;=80,"A",B108&gt;=60,"B",B108&lt;60,"Pass",B108&lt;33,"Fail")</f>
        <v>A</v>
      </c>
    </row>
    <row r="109" spans="1:4">
      <c r="A109" t="s">
        <v>1630</v>
      </c>
      <c r="B109">
        <v>56</v>
      </c>
      <c r="C109" t="str">
        <f t="shared" si="1"/>
        <v>Pass</v>
      </c>
      <c r="D109" t="str" cm="1">
        <f t="array" ref="D109">_xlfn.IFS(B109&gt;=80,"A",B109&gt;=60,"B",B109&lt;60,"Pass",B109&lt;33,"Fail")</f>
        <v>Pass</v>
      </c>
    </row>
    <row r="110" spans="1:4">
      <c r="A110" t="s">
        <v>1631</v>
      </c>
      <c r="B110">
        <v>33</v>
      </c>
      <c r="C110" t="str">
        <f t="shared" si="1"/>
        <v>Pass</v>
      </c>
      <c r="D110" t="str" cm="1">
        <f t="array" ref="D110">_xlfn.IFS(B110&gt;=80,"A",B110&gt;=60,"B",B110&lt;60,"Pass",B110&lt;33,"Fail")</f>
        <v>Pass</v>
      </c>
    </row>
    <row r="111" spans="1:4">
      <c r="A111" t="s">
        <v>1632</v>
      </c>
      <c r="B111">
        <v>96</v>
      </c>
      <c r="C111" t="str">
        <f t="shared" si="1"/>
        <v>Pass</v>
      </c>
      <c r="D111" t="str" cm="1">
        <f t="array" ref="D111">_xlfn.IFS(B111&gt;=80,"A",B111&gt;=60,"B",B111&lt;60,"Pass",B111&lt;33,"Fail")</f>
        <v>A</v>
      </c>
    </row>
    <row r="112" spans="1:4">
      <c r="A112" t="s">
        <v>1633</v>
      </c>
      <c r="B112">
        <v>40</v>
      </c>
      <c r="C112" t="str">
        <f t="shared" si="1"/>
        <v>Pass</v>
      </c>
      <c r="D112" t="str" cm="1">
        <f t="array" ref="D112">_xlfn.IFS(B112&gt;=80,"A",B112&gt;=60,"B",B112&lt;60,"Pass",B112&lt;33,"Fail")</f>
        <v>Pass</v>
      </c>
    </row>
    <row r="113" spans="1:4">
      <c r="A113" t="s">
        <v>1634</v>
      </c>
      <c r="B113">
        <v>7</v>
      </c>
      <c r="C113" t="str">
        <f t="shared" si="1"/>
        <v>Fail</v>
      </c>
      <c r="D113" t="str" cm="1">
        <f t="array" ref="D113">_xlfn.IFS(B113&gt;=80,"A",B113&gt;=60,"B",B113&lt;60,"Pass",B113&lt;33,"Fail")</f>
        <v>Pass</v>
      </c>
    </row>
    <row r="114" spans="1:4">
      <c r="A114" t="s">
        <v>1635</v>
      </c>
      <c r="B114">
        <v>22</v>
      </c>
      <c r="C114" t="str">
        <f t="shared" si="1"/>
        <v>Fail</v>
      </c>
      <c r="D114" t="str" cm="1">
        <f t="array" ref="D114">_xlfn.IFS(B114&gt;=80,"A",B114&gt;=60,"B",B114&lt;60,"Pass",B114&lt;33,"Fail")</f>
        <v>Pass</v>
      </c>
    </row>
    <row r="115" spans="1:4">
      <c r="A115" t="s">
        <v>1636</v>
      </c>
      <c r="B115">
        <v>67</v>
      </c>
      <c r="C115" t="str">
        <f t="shared" si="1"/>
        <v>Pass</v>
      </c>
      <c r="D115" t="str" cm="1">
        <f t="array" ref="D115">_xlfn.IFS(B115&gt;=80,"A",B115&gt;=60,"B",B115&lt;60,"Pass",B115&lt;33,"Fail")</f>
        <v>B</v>
      </c>
    </row>
    <row r="116" spans="1:4">
      <c r="A116" t="s">
        <v>1637</v>
      </c>
      <c r="B116">
        <v>17</v>
      </c>
      <c r="C116" t="str">
        <f t="shared" si="1"/>
        <v>Fail</v>
      </c>
      <c r="D116" t="str" cm="1">
        <f t="array" ref="D116">_xlfn.IFS(B116&gt;=80,"A",B116&gt;=60,"B",B116&lt;60,"Pass",B116&lt;33,"Fail")</f>
        <v>Pass</v>
      </c>
    </row>
    <row r="117" spans="1:4">
      <c r="A117" t="s">
        <v>1638</v>
      </c>
      <c r="B117">
        <v>73</v>
      </c>
      <c r="C117" t="str">
        <f t="shared" si="1"/>
        <v>Pass</v>
      </c>
      <c r="D117" t="str" cm="1">
        <f t="array" ref="D117">_xlfn.IFS(B117&gt;=80,"A",B117&gt;=60,"B",B117&lt;60,"Pass",B117&lt;33,"Fail")</f>
        <v>B</v>
      </c>
    </row>
    <row r="118" spans="1:4">
      <c r="A118" t="s">
        <v>1639</v>
      </c>
      <c r="B118">
        <v>7</v>
      </c>
      <c r="C118" t="str">
        <f t="shared" si="1"/>
        <v>Fail</v>
      </c>
      <c r="D118" t="str" cm="1">
        <f t="array" ref="D118">_xlfn.IFS(B118&gt;=80,"A",B118&gt;=60,"B",B118&lt;60,"Pass",B118&lt;33,"Fail")</f>
        <v>Pass</v>
      </c>
    </row>
    <row r="119" spans="1:4">
      <c r="A119" t="s">
        <v>1640</v>
      </c>
      <c r="B119">
        <v>20</v>
      </c>
      <c r="C119" t="str">
        <f t="shared" si="1"/>
        <v>Fail</v>
      </c>
      <c r="D119" t="str" cm="1">
        <f t="array" ref="D119">_xlfn.IFS(B119&gt;=80,"A",B119&gt;=60,"B",B119&lt;60,"Pass",B119&lt;33,"Fail")</f>
        <v>Pass</v>
      </c>
    </row>
    <row r="120" spans="1:4">
      <c r="A120" t="s">
        <v>1641</v>
      </c>
      <c r="B120">
        <v>39</v>
      </c>
      <c r="C120" t="str">
        <f t="shared" si="1"/>
        <v>Pass</v>
      </c>
      <c r="D120" t="str" cm="1">
        <f t="array" ref="D120">_xlfn.IFS(B120&gt;=80,"A",B120&gt;=60,"B",B120&lt;60,"Pass",B120&lt;33,"Fail")</f>
        <v>Pass</v>
      </c>
    </row>
    <row r="121" spans="1:4">
      <c r="A121" t="s">
        <v>1642</v>
      </c>
      <c r="B121">
        <v>93</v>
      </c>
      <c r="C121" t="str">
        <f t="shared" si="1"/>
        <v>Pass</v>
      </c>
      <c r="D121" t="str" cm="1">
        <f t="array" ref="D121">_xlfn.IFS(B121&gt;=80,"A",B121&gt;=60,"B",B121&lt;60,"Pass",B121&lt;33,"Fail")</f>
        <v>A</v>
      </c>
    </row>
    <row r="122" spans="1:4">
      <c r="A122" t="s">
        <v>1643</v>
      </c>
      <c r="B122">
        <v>17</v>
      </c>
      <c r="C122" t="str">
        <f t="shared" si="1"/>
        <v>Fail</v>
      </c>
      <c r="D122" t="str" cm="1">
        <f t="array" ref="D122">_xlfn.IFS(B122&gt;=80,"A",B122&gt;=60,"B",B122&lt;60,"Pass",B122&lt;33,"Fail")</f>
        <v>Pass</v>
      </c>
    </row>
    <row r="123" spans="1:4">
      <c r="A123" t="s">
        <v>1644</v>
      </c>
      <c r="B123">
        <v>58</v>
      </c>
      <c r="C123" t="str">
        <f t="shared" si="1"/>
        <v>Pass</v>
      </c>
      <c r="D123" t="str" cm="1">
        <f t="array" ref="D123">_xlfn.IFS(B123&gt;=80,"A",B123&gt;=60,"B",B123&lt;60,"Pass",B123&lt;33,"Fail")</f>
        <v>Pass</v>
      </c>
    </row>
    <row r="124" spans="1:4">
      <c r="A124" t="s">
        <v>1645</v>
      </c>
      <c r="B124">
        <v>35</v>
      </c>
      <c r="C124" t="str">
        <f t="shared" si="1"/>
        <v>Pass</v>
      </c>
      <c r="D124" t="str" cm="1">
        <f t="array" ref="D124">_xlfn.IFS(B124&gt;=80,"A",B124&gt;=60,"B",B124&lt;60,"Pass",B124&lt;33,"Fail")</f>
        <v>Pass</v>
      </c>
    </row>
    <row r="125" spans="1:4">
      <c r="A125" t="s">
        <v>1646</v>
      </c>
      <c r="B125">
        <v>14</v>
      </c>
      <c r="C125" t="str">
        <f t="shared" si="1"/>
        <v>Fail</v>
      </c>
      <c r="D125" t="str" cm="1">
        <f t="array" ref="D125">_xlfn.IFS(B125&gt;=80,"A",B125&gt;=60,"B",B125&lt;60,"Pass",B125&lt;33,"Fail")</f>
        <v>Pass</v>
      </c>
    </row>
    <row r="126" spans="1:4">
      <c r="A126" t="s">
        <v>1647</v>
      </c>
      <c r="B126">
        <v>42</v>
      </c>
      <c r="C126" t="str">
        <f t="shared" si="1"/>
        <v>Pass</v>
      </c>
      <c r="D126" t="str" cm="1">
        <f t="array" ref="D126">_xlfn.IFS(B126&gt;=80,"A",B126&gt;=60,"B",B126&lt;60,"Pass",B126&lt;33,"Fail")</f>
        <v>Pass</v>
      </c>
    </row>
    <row r="127" spans="1:4">
      <c r="A127" t="s">
        <v>1648</v>
      </c>
      <c r="B127">
        <v>34</v>
      </c>
      <c r="C127" t="str">
        <f t="shared" si="1"/>
        <v>Pass</v>
      </c>
      <c r="D127" t="str" cm="1">
        <f t="array" ref="D127">_xlfn.IFS(B127&gt;=80,"A",B127&gt;=60,"B",B127&lt;60,"Pass",B127&lt;33,"Fail")</f>
        <v>Pass</v>
      </c>
    </row>
    <row r="128" spans="1:4">
      <c r="A128" t="s">
        <v>1649</v>
      </c>
      <c r="B128">
        <v>7</v>
      </c>
      <c r="C128" t="str">
        <f t="shared" si="1"/>
        <v>Fail</v>
      </c>
      <c r="D128" t="str" cm="1">
        <f t="array" ref="D128">_xlfn.IFS(B128&gt;=80,"A",B128&gt;=60,"B",B128&lt;60,"Pass",B128&lt;33,"Fail")</f>
        <v>Pass</v>
      </c>
    </row>
    <row r="129" spans="1:4">
      <c r="A129" t="s">
        <v>1650</v>
      </c>
      <c r="B129">
        <v>70</v>
      </c>
      <c r="C129" t="str">
        <f t="shared" si="1"/>
        <v>Pass</v>
      </c>
      <c r="D129" t="str" cm="1">
        <f t="array" ref="D129">_xlfn.IFS(B129&gt;=80,"A",B129&gt;=60,"B",B129&lt;60,"Pass",B129&lt;33,"Fail")</f>
        <v>B</v>
      </c>
    </row>
    <row r="130" spans="1:4">
      <c r="A130" t="s">
        <v>1651</v>
      </c>
      <c r="B130">
        <v>79</v>
      </c>
      <c r="C130" t="str">
        <f t="shared" si="1"/>
        <v>Pass</v>
      </c>
      <c r="D130" t="str" cm="1">
        <f t="array" ref="D130">_xlfn.IFS(B130&gt;=80,"A",B130&gt;=60,"B",B130&lt;60,"Pass",B130&lt;33,"Fail")</f>
        <v>B</v>
      </c>
    </row>
    <row r="131" spans="1:4">
      <c r="A131" t="s">
        <v>1652</v>
      </c>
      <c r="B131">
        <v>5</v>
      </c>
      <c r="C131" t="str">
        <f t="shared" ref="C131:C194" si="2">IF(B131&gt;=33,"Pass","Fail")</f>
        <v>Fail</v>
      </c>
      <c r="D131" t="str" cm="1">
        <f t="array" ref="D131">_xlfn.IFS(B131&gt;=80,"A",B131&gt;=60,"B",B131&lt;60,"Pass",B131&lt;33,"Fail")</f>
        <v>Pass</v>
      </c>
    </row>
    <row r="132" spans="1:4">
      <c r="A132" t="s">
        <v>1653</v>
      </c>
      <c r="B132">
        <v>59</v>
      </c>
      <c r="C132" t="str">
        <f t="shared" si="2"/>
        <v>Pass</v>
      </c>
      <c r="D132" t="str" cm="1">
        <f t="array" ref="D132">_xlfn.IFS(B132&gt;=80,"A",B132&gt;=60,"B",B132&lt;60,"Pass",B132&lt;33,"Fail")</f>
        <v>Pass</v>
      </c>
    </row>
    <row r="133" spans="1:4">
      <c r="A133" t="s">
        <v>1654</v>
      </c>
      <c r="B133">
        <v>62</v>
      </c>
      <c r="C133" t="str">
        <f t="shared" si="2"/>
        <v>Pass</v>
      </c>
      <c r="D133" t="str" cm="1">
        <f t="array" ref="D133">_xlfn.IFS(B133&gt;=80,"A",B133&gt;=60,"B",B133&lt;60,"Pass",B133&lt;33,"Fail")</f>
        <v>B</v>
      </c>
    </row>
    <row r="134" spans="1:4">
      <c r="A134" t="s">
        <v>1655</v>
      </c>
      <c r="B134">
        <v>63</v>
      </c>
      <c r="C134" t="str">
        <f t="shared" si="2"/>
        <v>Pass</v>
      </c>
      <c r="D134" t="str" cm="1">
        <f t="array" ref="D134">_xlfn.IFS(B134&gt;=80,"A",B134&gt;=60,"B",B134&lt;60,"Pass",B134&lt;33,"Fail")</f>
        <v>B</v>
      </c>
    </row>
    <row r="135" spans="1:4">
      <c r="A135" t="s">
        <v>1656</v>
      </c>
      <c r="B135">
        <v>19</v>
      </c>
      <c r="C135" t="str">
        <f t="shared" si="2"/>
        <v>Fail</v>
      </c>
      <c r="D135" t="str" cm="1">
        <f t="array" ref="D135">_xlfn.IFS(B135&gt;=80,"A",B135&gt;=60,"B",B135&lt;60,"Pass",B135&lt;33,"Fail")</f>
        <v>Pass</v>
      </c>
    </row>
    <row r="136" spans="1:4">
      <c r="A136" t="s">
        <v>1657</v>
      </c>
      <c r="B136">
        <v>56</v>
      </c>
      <c r="C136" t="str">
        <f t="shared" si="2"/>
        <v>Pass</v>
      </c>
      <c r="D136" t="str" cm="1">
        <f t="array" ref="D136">_xlfn.IFS(B136&gt;=80,"A",B136&gt;=60,"B",B136&lt;60,"Pass",B136&lt;33,"Fail")</f>
        <v>Pass</v>
      </c>
    </row>
    <row r="137" spans="1:4">
      <c r="A137" t="s">
        <v>1658</v>
      </c>
      <c r="B137">
        <v>36</v>
      </c>
      <c r="C137" t="str">
        <f t="shared" si="2"/>
        <v>Pass</v>
      </c>
      <c r="D137" t="str" cm="1">
        <f t="array" ref="D137">_xlfn.IFS(B137&gt;=80,"A",B137&gt;=60,"B",B137&lt;60,"Pass",B137&lt;33,"Fail")</f>
        <v>Pass</v>
      </c>
    </row>
    <row r="138" spans="1:4">
      <c r="A138" t="s">
        <v>1659</v>
      </c>
      <c r="B138">
        <v>84</v>
      </c>
      <c r="C138" t="str">
        <f t="shared" si="2"/>
        <v>Pass</v>
      </c>
      <c r="D138" t="str" cm="1">
        <f t="array" ref="D138">_xlfn.IFS(B138&gt;=80,"A",B138&gt;=60,"B",B138&lt;60,"Pass",B138&lt;33,"Fail")</f>
        <v>A</v>
      </c>
    </row>
    <row r="139" spans="1:4">
      <c r="A139" t="s">
        <v>1660</v>
      </c>
      <c r="B139">
        <v>67</v>
      </c>
      <c r="C139" t="str">
        <f t="shared" si="2"/>
        <v>Pass</v>
      </c>
      <c r="D139" t="str" cm="1">
        <f t="array" ref="D139">_xlfn.IFS(B139&gt;=80,"A",B139&gt;=60,"B",B139&lt;60,"Pass",B139&lt;33,"Fail")</f>
        <v>B</v>
      </c>
    </row>
    <row r="140" spans="1:4">
      <c r="A140" t="s">
        <v>1661</v>
      </c>
      <c r="B140">
        <v>78</v>
      </c>
      <c r="C140" t="str">
        <f t="shared" si="2"/>
        <v>Pass</v>
      </c>
      <c r="D140" t="str" cm="1">
        <f t="array" ref="D140">_xlfn.IFS(B140&gt;=80,"A",B140&gt;=60,"B",B140&lt;60,"Pass",B140&lt;33,"Fail")</f>
        <v>B</v>
      </c>
    </row>
    <row r="141" spans="1:4">
      <c r="A141" t="s">
        <v>1662</v>
      </c>
      <c r="B141">
        <v>55</v>
      </c>
      <c r="C141" t="str">
        <f t="shared" si="2"/>
        <v>Pass</v>
      </c>
      <c r="D141" t="str" cm="1">
        <f t="array" ref="D141">_xlfn.IFS(B141&gt;=80,"A",B141&gt;=60,"B",B141&lt;60,"Pass",B141&lt;33,"Fail")</f>
        <v>Pass</v>
      </c>
    </row>
    <row r="142" spans="1:4">
      <c r="A142" t="s">
        <v>1663</v>
      </c>
      <c r="B142">
        <v>41</v>
      </c>
      <c r="C142" t="str">
        <f t="shared" si="2"/>
        <v>Pass</v>
      </c>
      <c r="D142" t="str" cm="1">
        <f t="array" ref="D142">_xlfn.IFS(B142&gt;=80,"A",B142&gt;=60,"B",B142&lt;60,"Pass",B142&lt;33,"Fail")</f>
        <v>Pass</v>
      </c>
    </row>
    <row r="143" spans="1:4">
      <c r="A143" t="s">
        <v>1664</v>
      </c>
      <c r="B143">
        <v>85</v>
      </c>
      <c r="C143" t="str">
        <f t="shared" si="2"/>
        <v>Pass</v>
      </c>
      <c r="D143" t="str" cm="1">
        <f t="array" ref="D143">_xlfn.IFS(B143&gt;=80,"A",B143&gt;=60,"B",B143&lt;60,"Pass",B143&lt;33,"Fail")</f>
        <v>A</v>
      </c>
    </row>
    <row r="144" spans="1:4">
      <c r="A144" t="s">
        <v>1665</v>
      </c>
      <c r="B144">
        <v>71</v>
      </c>
      <c r="C144" t="str">
        <f t="shared" si="2"/>
        <v>Pass</v>
      </c>
      <c r="D144" t="str" cm="1">
        <f t="array" ref="D144">_xlfn.IFS(B144&gt;=80,"A",B144&gt;=60,"B",B144&lt;60,"Pass",B144&lt;33,"Fail")</f>
        <v>B</v>
      </c>
    </row>
    <row r="145" spans="1:4">
      <c r="A145" t="s">
        <v>1666</v>
      </c>
      <c r="B145">
        <v>63</v>
      </c>
      <c r="C145" t="str">
        <f t="shared" si="2"/>
        <v>Pass</v>
      </c>
      <c r="D145" t="str" cm="1">
        <f t="array" ref="D145">_xlfn.IFS(B145&gt;=80,"A",B145&gt;=60,"B",B145&lt;60,"Pass",B145&lt;33,"Fail")</f>
        <v>B</v>
      </c>
    </row>
    <row r="146" spans="1:4">
      <c r="A146" t="s">
        <v>1667</v>
      </c>
      <c r="B146">
        <v>92</v>
      </c>
      <c r="C146" t="str">
        <f t="shared" si="2"/>
        <v>Pass</v>
      </c>
      <c r="D146" t="str" cm="1">
        <f t="array" ref="D146">_xlfn.IFS(B146&gt;=80,"A",B146&gt;=60,"B",B146&lt;60,"Pass",B146&lt;33,"Fail")</f>
        <v>A</v>
      </c>
    </row>
    <row r="147" spans="1:4">
      <c r="A147" t="s">
        <v>1668</v>
      </c>
      <c r="B147">
        <v>96</v>
      </c>
      <c r="C147" t="str">
        <f t="shared" si="2"/>
        <v>Pass</v>
      </c>
      <c r="D147" t="str" cm="1">
        <f t="array" ref="D147">_xlfn.IFS(B147&gt;=80,"A",B147&gt;=60,"B",B147&lt;60,"Pass",B147&lt;33,"Fail")</f>
        <v>A</v>
      </c>
    </row>
    <row r="148" spans="1:4">
      <c r="A148" t="s">
        <v>1669</v>
      </c>
      <c r="B148">
        <v>64</v>
      </c>
      <c r="C148" t="str">
        <f t="shared" si="2"/>
        <v>Pass</v>
      </c>
      <c r="D148" t="str" cm="1">
        <f t="array" ref="D148">_xlfn.IFS(B148&gt;=80,"A",B148&gt;=60,"B",B148&lt;60,"Pass",B148&lt;33,"Fail")</f>
        <v>B</v>
      </c>
    </row>
    <row r="149" spans="1:4">
      <c r="A149" t="s">
        <v>1670</v>
      </c>
      <c r="B149">
        <v>19</v>
      </c>
      <c r="C149" t="str">
        <f t="shared" si="2"/>
        <v>Fail</v>
      </c>
      <c r="D149" t="str" cm="1">
        <f t="array" ref="D149">_xlfn.IFS(B149&gt;=80,"A",B149&gt;=60,"B",B149&lt;60,"Pass",B149&lt;33,"Fail")</f>
        <v>Pass</v>
      </c>
    </row>
    <row r="150" spans="1:4">
      <c r="A150" t="s">
        <v>1671</v>
      </c>
      <c r="B150">
        <v>21</v>
      </c>
      <c r="C150" t="str">
        <f t="shared" si="2"/>
        <v>Fail</v>
      </c>
      <c r="D150" t="str" cm="1">
        <f t="array" ref="D150">_xlfn.IFS(B150&gt;=80,"A",B150&gt;=60,"B",B150&lt;60,"Pass",B150&lt;33,"Fail")</f>
        <v>Pass</v>
      </c>
    </row>
    <row r="151" spans="1:4">
      <c r="A151" t="s">
        <v>1672</v>
      </c>
      <c r="B151">
        <v>21</v>
      </c>
      <c r="C151" t="str">
        <f t="shared" si="2"/>
        <v>Fail</v>
      </c>
      <c r="D151" t="str" cm="1">
        <f t="array" ref="D151">_xlfn.IFS(B151&gt;=80,"A",B151&gt;=60,"B",B151&lt;60,"Pass",B151&lt;33,"Fail")</f>
        <v>Pass</v>
      </c>
    </row>
    <row r="152" spans="1:4">
      <c r="A152" t="s">
        <v>1673</v>
      </c>
      <c r="B152">
        <v>84</v>
      </c>
      <c r="C152" t="str">
        <f t="shared" si="2"/>
        <v>Pass</v>
      </c>
      <c r="D152" t="str" cm="1">
        <f t="array" ref="D152">_xlfn.IFS(B152&gt;=80,"A",B152&gt;=60,"B",B152&lt;60,"Pass",B152&lt;33,"Fail")</f>
        <v>A</v>
      </c>
    </row>
    <row r="153" spans="1:4">
      <c r="A153" t="s">
        <v>1674</v>
      </c>
      <c r="B153">
        <v>30</v>
      </c>
      <c r="C153" t="str">
        <f t="shared" si="2"/>
        <v>Fail</v>
      </c>
      <c r="D153" t="str" cm="1">
        <f t="array" ref="D153">_xlfn.IFS(B153&gt;=80,"A",B153&gt;=60,"B",B153&lt;60,"Pass",B153&lt;33,"Fail")</f>
        <v>Pass</v>
      </c>
    </row>
    <row r="154" spans="1:4">
      <c r="A154" t="s">
        <v>1675</v>
      </c>
      <c r="B154">
        <v>21</v>
      </c>
      <c r="C154" t="str">
        <f t="shared" si="2"/>
        <v>Fail</v>
      </c>
      <c r="D154" t="str" cm="1">
        <f t="array" ref="D154">_xlfn.IFS(B154&gt;=80,"A",B154&gt;=60,"B",B154&lt;60,"Pass",B154&lt;33,"Fail")</f>
        <v>Pass</v>
      </c>
    </row>
    <row r="155" spans="1:4">
      <c r="A155" t="s">
        <v>1676</v>
      </c>
      <c r="B155">
        <v>93</v>
      </c>
      <c r="C155" t="str">
        <f t="shared" si="2"/>
        <v>Pass</v>
      </c>
      <c r="D155" t="str" cm="1">
        <f t="array" ref="D155">_xlfn.IFS(B155&gt;=80,"A",B155&gt;=60,"B",B155&lt;60,"Pass",B155&lt;33,"Fail")</f>
        <v>A</v>
      </c>
    </row>
    <row r="156" spans="1:4">
      <c r="A156" t="s">
        <v>1677</v>
      </c>
      <c r="B156">
        <v>86</v>
      </c>
      <c r="C156" t="str">
        <f t="shared" si="2"/>
        <v>Pass</v>
      </c>
      <c r="D156" t="str" cm="1">
        <f t="array" ref="D156">_xlfn.IFS(B156&gt;=80,"A",B156&gt;=60,"B",B156&lt;60,"Pass",B156&lt;33,"Fail")</f>
        <v>A</v>
      </c>
    </row>
    <row r="157" spans="1:4">
      <c r="A157" t="s">
        <v>1678</v>
      </c>
      <c r="B157">
        <v>72</v>
      </c>
      <c r="C157" t="str">
        <f t="shared" si="2"/>
        <v>Pass</v>
      </c>
      <c r="D157" t="str" cm="1">
        <f t="array" ref="D157">_xlfn.IFS(B157&gt;=80,"A",B157&gt;=60,"B",B157&lt;60,"Pass",B157&lt;33,"Fail")</f>
        <v>B</v>
      </c>
    </row>
    <row r="158" spans="1:4">
      <c r="A158" t="s">
        <v>1679</v>
      </c>
      <c r="B158">
        <v>30</v>
      </c>
      <c r="C158" t="str">
        <f t="shared" si="2"/>
        <v>Fail</v>
      </c>
      <c r="D158" t="str" cm="1">
        <f t="array" ref="D158">_xlfn.IFS(B158&gt;=80,"A",B158&gt;=60,"B",B158&lt;60,"Pass",B158&lt;33,"Fail")</f>
        <v>Pass</v>
      </c>
    </row>
    <row r="159" spans="1:4">
      <c r="A159" t="s">
        <v>1680</v>
      </c>
      <c r="B159">
        <v>5</v>
      </c>
      <c r="C159" t="str">
        <f t="shared" si="2"/>
        <v>Fail</v>
      </c>
      <c r="D159" t="str" cm="1">
        <f t="array" ref="D159">_xlfn.IFS(B159&gt;=80,"A",B159&gt;=60,"B",B159&lt;60,"Pass",B159&lt;33,"Fail")</f>
        <v>Pass</v>
      </c>
    </row>
    <row r="160" spans="1:4">
      <c r="A160" t="s">
        <v>1681</v>
      </c>
      <c r="B160">
        <v>82</v>
      </c>
      <c r="C160" t="str">
        <f t="shared" si="2"/>
        <v>Pass</v>
      </c>
      <c r="D160" t="str" cm="1">
        <f t="array" ref="D160">_xlfn.IFS(B160&gt;=80,"A",B160&gt;=60,"B",B160&lt;60,"Pass",B160&lt;33,"Fail")</f>
        <v>A</v>
      </c>
    </row>
    <row r="161" spans="1:4">
      <c r="A161" t="s">
        <v>1682</v>
      </c>
      <c r="B161">
        <v>90</v>
      </c>
      <c r="C161" t="str">
        <f t="shared" si="2"/>
        <v>Pass</v>
      </c>
      <c r="D161" t="str" cm="1">
        <f t="array" ref="D161">_xlfn.IFS(B161&gt;=80,"A",B161&gt;=60,"B",B161&lt;60,"Pass",B161&lt;33,"Fail")</f>
        <v>A</v>
      </c>
    </row>
    <row r="162" spans="1:4">
      <c r="A162" t="s">
        <v>1683</v>
      </c>
      <c r="B162">
        <v>59</v>
      </c>
      <c r="C162" t="str">
        <f t="shared" si="2"/>
        <v>Pass</v>
      </c>
      <c r="D162" t="str" cm="1">
        <f t="array" ref="D162">_xlfn.IFS(B162&gt;=80,"A",B162&gt;=60,"B",B162&lt;60,"Pass",B162&lt;33,"Fail")</f>
        <v>Pass</v>
      </c>
    </row>
    <row r="163" spans="1:4">
      <c r="A163" t="s">
        <v>1684</v>
      </c>
      <c r="B163">
        <v>18</v>
      </c>
      <c r="C163" t="str">
        <f t="shared" si="2"/>
        <v>Fail</v>
      </c>
      <c r="D163" t="str" cm="1">
        <f t="array" ref="D163">_xlfn.IFS(B163&gt;=80,"A",B163&gt;=60,"B",B163&lt;60,"Pass",B163&lt;33,"Fail")</f>
        <v>Pass</v>
      </c>
    </row>
    <row r="164" spans="1:4">
      <c r="A164" t="s">
        <v>1685</v>
      </c>
      <c r="B164">
        <v>4</v>
      </c>
      <c r="C164" t="str">
        <f t="shared" si="2"/>
        <v>Fail</v>
      </c>
      <c r="D164" t="str" cm="1">
        <f t="array" ref="D164">_xlfn.IFS(B164&gt;=80,"A",B164&gt;=60,"B",B164&lt;60,"Pass",B164&lt;33,"Fail")</f>
        <v>Pass</v>
      </c>
    </row>
    <row r="165" spans="1:4">
      <c r="A165" t="s">
        <v>1686</v>
      </c>
      <c r="B165">
        <v>35</v>
      </c>
      <c r="C165" t="str">
        <f t="shared" si="2"/>
        <v>Pass</v>
      </c>
      <c r="D165" t="str" cm="1">
        <f t="array" ref="D165">_xlfn.IFS(B165&gt;=80,"A",B165&gt;=60,"B",B165&lt;60,"Pass",B165&lt;33,"Fail")</f>
        <v>Pass</v>
      </c>
    </row>
    <row r="166" spans="1:4">
      <c r="A166" t="s">
        <v>1687</v>
      </c>
      <c r="B166">
        <v>90</v>
      </c>
      <c r="C166" t="str">
        <f t="shared" si="2"/>
        <v>Pass</v>
      </c>
      <c r="D166" t="str" cm="1">
        <f t="array" ref="D166">_xlfn.IFS(B166&gt;=80,"A",B166&gt;=60,"B",B166&lt;60,"Pass",B166&lt;33,"Fail")</f>
        <v>A</v>
      </c>
    </row>
    <row r="167" spans="1:4">
      <c r="A167" t="s">
        <v>1688</v>
      </c>
      <c r="B167">
        <v>29</v>
      </c>
      <c r="C167" t="str">
        <f t="shared" si="2"/>
        <v>Fail</v>
      </c>
      <c r="D167" t="str" cm="1">
        <f t="array" ref="D167">_xlfn.IFS(B167&gt;=80,"A",B167&gt;=60,"B",B167&lt;60,"Pass",B167&lt;33,"Fail")</f>
        <v>Pass</v>
      </c>
    </row>
    <row r="168" spans="1:4">
      <c r="A168" t="s">
        <v>1689</v>
      </c>
      <c r="B168">
        <v>39</v>
      </c>
      <c r="C168" t="str">
        <f t="shared" si="2"/>
        <v>Pass</v>
      </c>
      <c r="D168" t="str" cm="1">
        <f t="array" ref="D168">_xlfn.IFS(B168&gt;=80,"A",B168&gt;=60,"B",B168&lt;60,"Pass",B168&lt;33,"Fail")</f>
        <v>Pass</v>
      </c>
    </row>
    <row r="169" spans="1:4">
      <c r="A169" t="s">
        <v>1690</v>
      </c>
      <c r="B169">
        <v>15</v>
      </c>
      <c r="C169" t="str">
        <f t="shared" si="2"/>
        <v>Fail</v>
      </c>
      <c r="D169" t="str" cm="1">
        <f t="array" ref="D169">_xlfn.IFS(B169&gt;=80,"A",B169&gt;=60,"B",B169&lt;60,"Pass",B169&lt;33,"Fail")</f>
        <v>Pass</v>
      </c>
    </row>
    <row r="170" spans="1:4">
      <c r="A170" t="s">
        <v>1691</v>
      </c>
      <c r="B170">
        <v>79</v>
      </c>
      <c r="C170" t="str">
        <f t="shared" si="2"/>
        <v>Pass</v>
      </c>
      <c r="D170" t="str" cm="1">
        <f t="array" ref="D170">_xlfn.IFS(B170&gt;=80,"A",B170&gt;=60,"B",B170&lt;60,"Pass",B170&lt;33,"Fail")</f>
        <v>B</v>
      </c>
    </row>
    <row r="171" spans="1:4">
      <c r="A171" t="s">
        <v>1692</v>
      </c>
      <c r="B171">
        <v>78</v>
      </c>
      <c r="C171" t="str">
        <f t="shared" si="2"/>
        <v>Pass</v>
      </c>
      <c r="D171" t="str" cm="1">
        <f t="array" ref="D171">_xlfn.IFS(B171&gt;=80,"A",B171&gt;=60,"B",B171&lt;60,"Pass",B171&lt;33,"Fail")</f>
        <v>B</v>
      </c>
    </row>
    <row r="172" spans="1:4">
      <c r="A172" t="s">
        <v>1693</v>
      </c>
      <c r="B172">
        <v>11</v>
      </c>
      <c r="C172" t="str">
        <f t="shared" si="2"/>
        <v>Fail</v>
      </c>
      <c r="D172" t="str" cm="1">
        <f t="array" ref="D172">_xlfn.IFS(B172&gt;=80,"A",B172&gt;=60,"B",B172&lt;60,"Pass",B172&lt;33,"Fail")</f>
        <v>Pass</v>
      </c>
    </row>
    <row r="173" spans="1:4">
      <c r="A173" t="s">
        <v>1694</v>
      </c>
      <c r="B173">
        <v>79</v>
      </c>
      <c r="C173" t="str">
        <f t="shared" si="2"/>
        <v>Pass</v>
      </c>
      <c r="D173" t="str" cm="1">
        <f t="array" ref="D173">_xlfn.IFS(B173&gt;=80,"A",B173&gt;=60,"B",B173&lt;60,"Pass",B173&lt;33,"Fail")</f>
        <v>B</v>
      </c>
    </row>
    <row r="174" spans="1:4">
      <c r="A174" t="s">
        <v>1695</v>
      </c>
      <c r="B174">
        <v>93</v>
      </c>
      <c r="C174" t="str">
        <f t="shared" si="2"/>
        <v>Pass</v>
      </c>
      <c r="D174" t="str" cm="1">
        <f t="array" ref="D174">_xlfn.IFS(B174&gt;=80,"A",B174&gt;=60,"B",B174&lt;60,"Pass",B174&lt;33,"Fail")</f>
        <v>A</v>
      </c>
    </row>
    <row r="175" spans="1:4">
      <c r="A175" t="s">
        <v>1696</v>
      </c>
      <c r="B175">
        <v>42</v>
      </c>
      <c r="C175" t="str">
        <f t="shared" si="2"/>
        <v>Pass</v>
      </c>
      <c r="D175" t="str" cm="1">
        <f t="array" ref="D175">_xlfn.IFS(B175&gt;=80,"A",B175&gt;=60,"B",B175&lt;60,"Pass",B175&lt;33,"Fail")</f>
        <v>Pass</v>
      </c>
    </row>
    <row r="176" spans="1:4">
      <c r="A176" t="s">
        <v>1697</v>
      </c>
      <c r="B176">
        <v>69</v>
      </c>
      <c r="C176" t="str">
        <f t="shared" si="2"/>
        <v>Pass</v>
      </c>
      <c r="D176" t="str" cm="1">
        <f t="array" ref="D176">_xlfn.IFS(B176&gt;=80,"A",B176&gt;=60,"B",B176&lt;60,"Pass",B176&lt;33,"Fail")</f>
        <v>B</v>
      </c>
    </row>
    <row r="177" spans="1:4">
      <c r="A177" t="s">
        <v>1698</v>
      </c>
      <c r="B177">
        <v>72</v>
      </c>
      <c r="C177" t="str">
        <f t="shared" si="2"/>
        <v>Pass</v>
      </c>
      <c r="D177" t="str" cm="1">
        <f t="array" ref="D177">_xlfn.IFS(B177&gt;=80,"A",B177&gt;=60,"B",B177&lt;60,"Pass",B177&lt;33,"Fail")</f>
        <v>B</v>
      </c>
    </row>
    <row r="178" spans="1:4">
      <c r="A178" t="s">
        <v>1699</v>
      </c>
      <c r="B178">
        <v>46</v>
      </c>
      <c r="C178" t="str">
        <f t="shared" si="2"/>
        <v>Pass</v>
      </c>
      <c r="D178" t="str" cm="1">
        <f t="array" ref="D178">_xlfn.IFS(B178&gt;=80,"A",B178&gt;=60,"B",B178&lt;60,"Pass",B178&lt;33,"Fail")</f>
        <v>Pass</v>
      </c>
    </row>
    <row r="179" spans="1:4">
      <c r="A179" t="s">
        <v>1700</v>
      </c>
      <c r="B179">
        <v>67</v>
      </c>
      <c r="C179" t="str">
        <f t="shared" si="2"/>
        <v>Pass</v>
      </c>
      <c r="D179" t="str" cm="1">
        <f t="array" ref="D179">_xlfn.IFS(B179&gt;=80,"A",B179&gt;=60,"B",B179&lt;60,"Pass",B179&lt;33,"Fail")</f>
        <v>B</v>
      </c>
    </row>
    <row r="180" spans="1:4">
      <c r="A180" t="s">
        <v>1701</v>
      </c>
      <c r="B180">
        <v>79</v>
      </c>
      <c r="C180" t="str">
        <f t="shared" si="2"/>
        <v>Pass</v>
      </c>
      <c r="D180" t="str" cm="1">
        <f t="array" ref="D180">_xlfn.IFS(B180&gt;=80,"A",B180&gt;=60,"B",B180&lt;60,"Pass",B180&lt;33,"Fail")</f>
        <v>B</v>
      </c>
    </row>
    <row r="181" spans="1:4">
      <c r="A181" t="s">
        <v>1702</v>
      </c>
      <c r="B181">
        <v>49</v>
      </c>
      <c r="C181" t="str">
        <f t="shared" si="2"/>
        <v>Pass</v>
      </c>
      <c r="D181" t="str" cm="1">
        <f t="array" ref="D181">_xlfn.IFS(B181&gt;=80,"A",B181&gt;=60,"B",B181&lt;60,"Pass",B181&lt;33,"Fail")</f>
        <v>Pass</v>
      </c>
    </row>
    <row r="182" spans="1:4">
      <c r="A182" t="s">
        <v>1703</v>
      </c>
      <c r="B182">
        <v>22</v>
      </c>
      <c r="C182" t="str">
        <f t="shared" si="2"/>
        <v>Fail</v>
      </c>
      <c r="D182" t="str" cm="1">
        <f t="array" ref="D182">_xlfn.IFS(B182&gt;=80,"A",B182&gt;=60,"B",B182&lt;60,"Pass",B182&lt;33,"Fail")</f>
        <v>Pass</v>
      </c>
    </row>
    <row r="183" spans="1:4">
      <c r="A183" t="s">
        <v>1704</v>
      </c>
      <c r="B183">
        <v>60</v>
      </c>
      <c r="C183" t="str">
        <f t="shared" si="2"/>
        <v>Pass</v>
      </c>
      <c r="D183" t="str" cm="1">
        <f t="array" ref="D183">_xlfn.IFS(B183&gt;=80,"A",B183&gt;=60,"B",B183&lt;60,"Pass",B183&lt;33,"Fail")</f>
        <v>B</v>
      </c>
    </row>
    <row r="184" spans="1:4">
      <c r="A184" t="s">
        <v>1705</v>
      </c>
      <c r="B184">
        <v>51</v>
      </c>
      <c r="C184" t="str">
        <f t="shared" si="2"/>
        <v>Pass</v>
      </c>
      <c r="D184" t="str" cm="1">
        <f t="array" ref="D184">_xlfn.IFS(B184&gt;=80,"A",B184&gt;=60,"B",B184&lt;60,"Pass",B184&lt;33,"Fail")</f>
        <v>Pass</v>
      </c>
    </row>
    <row r="185" spans="1:4">
      <c r="A185" t="s">
        <v>1706</v>
      </c>
      <c r="B185">
        <v>62</v>
      </c>
      <c r="C185" t="str">
        <f t="shared" si="2"/>
        <v>Pass</v>
      </c>
      <c r="D185" t="str" cm="1">
        <f t="array" ref="D185">_xlfn.IFS(B185&gt;=80,"A",B185&gt;=60,"B",B185&lt;60,"Pass",B185&lt;33,"Fail")</f>
        <v>B</v>
      </c>
    </row>
    <row r="186" spans="1:4">
      <c r="A186" t="s">
        <v>1707</v>
      </c>
      <c r="B186">
        <v>33</v>
      </c>
      <c r="C186" t="str">
        <f t="shared" si="2"/>
        <v>Pass</v>
      </c>
      <c r="D186" t="str" cm="1">
        <f t="array" ref="D186">_xlfn.IFS(B186&gt;=80,"A",B186&gt;=60,"B",B186&lt;60,"Pass",B186&lt;33,"Fail")</f>
        <v>Pass</v>
      </c>
    </row>
    <row r="187" spans="1:4">
      <c r="A187" t="s">
        <v>1708</v>
      </c>
      <c r="B187">
        <v>24</v>
      </c>
      <c r="C187" t="str">
        <f t="shared" si="2"/>
        <v>Fail</v>
      </c>
      <c r="D187" t="str" cm="1">
        <f t="array" ref="D187">_xlfn.IFS(B187&gt;=80,"A",B187&gt;=60,"B",B187&lt;60,"Pass",B187&lt;33,"Fail")</f>
        <v>Pass</v>
      </c>
    </row>
    <row r="188" spans="1:4">
      <c r="A188" t="s">
        <v>1709</v>
      </c>
      <c r="B188">
        <v>73</v>
      </c>
      <c r="C188" t="str">
        <f t="shared" si="2"/>
        <v>Pass</v>
      </c>
      <c r="D188" t="str" cm="1">
        <f t="array" ref="D188">_xlfn.IFS(B188&gt;=80,"A",B188&gt;=60,"B",B188&lt;60,"Pass",B188&lt;33,"Fail")</f>
        <v>B</v>
      </c>
    </row>
    <row r="189" spans="1:4">
      <c r="A189" t="s">
        <v>1710</v>
      </c>
      <c r="B189">
        <v>74</v>
      </c>
      <c r="C189" t="str">
        <f t="shared" si="2"/>
        <v>Pass</v>
      </c>
      <c r="D189" t="str" cm="1">
        <f t="array" ref="D189">_xlfn.IFS(B189&gt;=80,"A",B189&gt;=60,"B",B189&lt;60,"Pass",B189&lt;33,"Fail")</f>
        <v>B</v>
      </c>
    </row>
    <row r="190" spans="1:4">
      <c r="A190" t="s">
        <v>1711</v>
      </c>
      <c r="B190">
        <v>39</v>
      </c>
      <c r="C190" t="str">
        <f t="shared" si="2"/>
        <v>Pass</v>
      </c>
      <c r="D190" t="str" cm="1">
        <f t="array" ref="D190">_xlfn.IFS(B190&gt;=80,"A",B190&gt;=60,"B",B190&lt;60,"Pass",B190&lt;33,"Fail")</f>
        <v>Pass</v>
      </c>
    </row>
    <row r="191" spans="1:4">
      <c r="A191" t="s">
        <v>1712</v>
      </c>
      <c r="B191">
        <v>9</v>
      </c>
      <c r="C191" t="str">
        <f t="shared" si="2"/>
        <v>Fail</v>
      </c>
      <c r="D191" t="str" cm="1">
        <f t="array" ref="D191">_xlfn.IFS(B191&gt;=80,"A",B191&gt;=60,"B",B191&lt;60,"Pass",B191&lt;33,"Fail")</f>
        <v>Pass</v>
      </c>
    </row>
    <row r="192" spans="1:4">
      <c r="A192" t="s">
        <v>1713</v>
      </c>
      <c r="B192">
        <v>67</v>
      </c>
      <c r="C192" t="str">
        <f t="shared" si="2"/>
        <v>Pass</v>
      </c>
      <c r="D192" t="str" cm="1">
        <f t="array" ref="D192">_xlfn.IFS(B192&gt;=80,"A",B192&gt;=60,"B",B192&lt;60,"Pass",B192&lt;33,"Fail")</f>
        <v>B</v>
      </c>
    </row>
    <row r="193" spans="1:4">
      <c r="A193" t="s">
        <v>1714</v>
      </c>
      <c r="B193">
        <v>35</v>
      </c>
      <c r="C193" t="str">
        <f t="shared" si="2"/>
        <v>Pass</v>
      </c>
      <c r="D193" t="str" cm="1">
        <f t="array" ref="D193">_xlfn.IFS(B193&gt;=80,"A",B193&gt;=60,"B",B193&lt;60,"Pass",B193&lt;33,"Fail")</f>
        <v>Pass</v>
      </c>
    </row>
    <row r="194" spans="1:4">
      <c r="A194" t="s">
        <v>1715</v>
      </c>
      <c r="B194">
        <v>96</v>
      </c>
      <c r="C194" t="str">
        <f t="shared" si="2"/>
        <v>Pass</v>
      </c>
      <c r="D194" t="str" cm="1">
        <f t="array" ref="D194">_xlfn.IFS(B194&gt;=80,"A",B194&gt;=60,"B",B194&lt;60,"Pass",B194&lt;33,"Fail")</f>
        <v>A</v>
      </c>
    </row>
    <row r="195" spans="1:4">
      <c r="A195" t="s">
        <v>1716</v>
      </c>
      <c r="B195">
        <v>66</v>
      </c>
      <c r="C195" t="str">
        <f t="shared" ref="C195:C258" si="3">IF(B195&gt;=33,"Pass","Fail")</f>
        <v>Pass</v>
      </c>
      <c r="D195" t="str" cm="1">
        <f t="array" ref="D195">_xlfn.IFS(B195&gt;=80,"A",B195&gt;=60,"B",B195&lt;60,"Pass",B195&lt;33,"Fail")</f>
        <v>B</v>
      </c>
    </row>
    <row r="196" spans="1:4">
      <c r="A196" t="s">
        <v>1717</v>
      </c>
      <c r="B196">
        <v>24</v>
      </c>
      <c r="C196" t="str">
        <f t="shared" si="3"/>
        <v>Fail</v>
      </c>
      <c r="D196" t="str" cm="1">
        <f t="array" ref="D196">_xlfn.IFS(B196&gt;=80,"A",B196&gt;=60,"B",B196&lt;60,"Pass",B196&lt;33,"Fail")</f>
        <v>Pass</v>
      </c>
    </row>
    <row r="197" spans="1:4">
      <c r="A197" t="s">
        <v>1718</v>
      </c>
      <c r="B197">
        <v>13</v>
      </c>
      <c r="C197" t="str">
        <f t="shared" si="3"/>
        <v>Fail</v>
      </c>
      <c r="D197" t="str" cm="1">
        <f t="array" ref="D197">_xlfn.IFS(B197&gt;=80,"A",B197&gt;=60,"B",B197&lt;60,"Pass",B197&lt;33,"Fail")</f>
        <v>Pass</v>
      </c>
    </row>
    <row r="198" spans="1:4">
      <c r="A198" t="s">
        <v>1719</v>
      </c>
      <c r="B198">
        <v>16</v>
      </c>
      <c r="C198" t="str">
        <f t="shared" si="3"/>
        <v>Fail</v>
      </c>
      <c r="D198" t="str" cm="1">
        <f t="array" ref="D198">_xlfn.IFS(B198&gt;=80,"A",B198&gt;=60,"B",B198&lt;60,"Pass",B198&lt;33,"Fail")</f>
        <v>Pass</v>
      </c>
    </row>
    <row r="199" spans="1:4">
      <c r="A199" t="s">
        <v>1720</v>
      </c>
      <c r="B199">
        <v>13</v>
      </c>
      <c r="C199" t="str">
        <f t="shared" si="3"/>
        <v>Fail</v>
      </c>
      <c r="D199" t="str" cm="1">
        <f t="array" ref="D199">_xlfn.IFS(B199&gt;=80,"A",B199&gt;=60,"B",B199&lt;60,"Pass",B199&lt;33,"Fail")</f>
        <v>Pass</v>
      </c>
    </row>
    <row r="200" spans="1:4">
      <c r="A200" t="s">
        <v>1721</v>
      </c>
      <c r="B200">
        <v>97</v>
      </c>
      <c r="C200" t="str">
        <f t="shared" si="3"/>
        <v>Pass</v>
      </c>
      <c r="D200" t="str" cm="1">
        <f t="array" ref="D200">_xlfn.IFS(B200&gt;=80,"A",B200&gt;=60,"B",B200&lt;60,"Pass",B200&lt;33,"Fail")</f>
        <v>A</v>
      </c>
    </row>
    <row r="201" spans="1:4">
      <c r="A201" t="s">
        <v>1722</v>
      </c>
      <c r="B201">
        <v>56</v>
      </c>
      <c r="C201" t="str">
        <f t="shared" si="3"/>
        <v>Pass</v>
      </c>
      <c r="D201" t="str" cm="1">
        <f t="array" ref="D201">_xlfn.IFS(B201&gt;=80,"A",B201&gt;=60,"B",B201&lt;60,"Pass",B201&lt;33,"Fail")</f>
        <v>Pass</v>
      </c>
    </row>
    <row r="202" spans="1:4">
      <c r="A202" t="s">
        <v>1723</v>
      </c>
      <c r="B202">
        <v>65</v>
      </c>
      <c r="C202" t="str">
        <f t="shared" si="3"/>
        <v>Pass</v>
      </c>
      <c r="D202" t="str" cm="1">
        <f t="array" ref="D202">_xlfn.IFS(B202&gt;=80,"A",B202&gt;=60,"B",B202&lt;60,"Pass",B202&lt;33,"Fail")</f>
        <v>B</v>
      </c>
    </row>
    <row r="203" spans="1:4">
      <c r="A203" t="s">
        <v>1724</v>
      </c>
      <c r="B203">
        <v>14</v>
      </c>
      <c r="C203" t="str">
        <f t="shared" si="3"/>
        <v>Fail</v>
      </c>
      <c r="D203" t="str" cm="1">
        <f t="array" ref="D203">_xlfn.IFS(B203&gt;=80,"A",B203&gt;=60,"B",B203&lt;60,"Pass",B203&lt;33,"Fail")</f>
        <v>Pass</v>
      </c>
    </row>
    <row r="204" spans="1:4">
      <c r="A204" t="s">
        <v>1725</v>
      </c>
      <c r="B204">
        <v>82</v>
      </c>
      <c r="C204" t="str">
        <f t="shared" si="3"/>
        <v>Pass</v>
      </c>
      <c r="D204" t="str" cm="1">
        <f t="array" ref="D204">_xlfn.IFS(B204&gt;=80,"A",B204&gt;=60,"B",B204&lt;60,"Pass",B204&lt;33,"Fail")</f>
        <v>A</v>
      </c>
    </row>
    <row r="205" spans="1:4">
      <c r="A205" t="s">
        <v>1726</v>
      </c>
      <c r="B205">
        <v>88</v>
      </c>
      <c r="C205" t="str">
        <f t="shared" si="3"/>
        <v>Pass</v>
      </c>
      <c r="D205" t="str" cm="1">
        <f t="array" ref="D205">_xlfn.IFS(B205&gt;=80,"A",B205&gt;=60,"B",B205&lt;60,"Pass",B205&lt;33,"Fail")</f>
        <v>A</v>
      </c>
    </row>
    <row r="206" spans="1:4">
      <c r="A206" t="s">
        <v>1727</v>
      </c>
      <c r="B206">
        <v>82</v>
      </c>
      <c r="C206" t="str">
        <f t="shared" si="3"/>
        <v>Pass</v>
      </c>
      <c r="D206" t="str" cm="1">
        <f t="array" ref="D206">_xlfn.IFS(B206&gt;=80,"A",B206&gt;=60,"B",B206&lt;60,"Pass",B206&lt;33,"Fail")</f>
        <v>A</v>
      </c>
    </row>
    <row r="207" spans="1:4">
      <c r="A207" t="s">
        <v>1728</v>
      </c>
      <c r="B207">
        <v>21</v>
      </c>
      <c r="C207" t="str">
        <f t="shared" si="3"/>
        <v>Fail</v>
      </c>
      <c r="D207" t="str" cm="1">
        <f t="array" ref="D207">_xlfn.IFS(B207&gt;=80,"A",B207&gt;=60,"B",B207&lt;60,"Pass",B207&lt;33,"Fail")</f>
        <v>Pass</v>
      </c>
    </row>
    <row r="208" spans="1:4">
      <c r="A208" t="s">
        <v>1729</v>
      </c>
      <c r="B208">
        <v>42</v>
      </c>
      <c r="C208" t="str">
        <f t="shared" si="3"/>
        <v>Pass</v>
      </c>
      <c r="D208" t="str" cm="1">
        <f t="array" ref="D208">_xlfn.IFS(B208&gt;=80,"A",B208&gt;=60,"B",B208&lt;60,"Pass",B208&lt;33,"Fail")</f>
        <v>Pass</v>
      </c>
    </row>
    <row r="209" spans="1:4">
      <c r="A209" t="s">
        <v>1730</v>
      </c>
      <c r="B209">
        <v>56</v>
      </c>
      <c r="C209" t="str">
        <f t="shared" si="3"/>
        <v>Pass</v>
      </c>
      <c r="D209" t="str" cm="1">
        <f t="array" ref="D209">_xlfn.IFS(B209&gt;=80,"A",B209&gt;=60,"B",B209&lt;60,"Pass",B209&lt;33,"Fail")</f>
        <v>Pass</v>
      </c>
    </row>
    <row r="210" spans="1:4">
      <c r="A210" t="s">
        <v>1731</v>
      </c>
      <c r="B210">
        <v>48</v>
      </c>
      <c r="C210" t="str">
        <f t="shared" si="3"/>
        <v>Pass</v>
      </c>
      <c r="D210" t="str" cm="1">
        <f t="array" ref="D210">_xlfn.IFS(B210&gt;=80,"A",B210&gt;=60,"B",B210&lt;60,"Pass",B210&lt;33,"Fail")</f>
        <v>Pass</v>
      </c>
    </row>
    <row r="211" spans="1:4">
      <c r="A211" t="s">
        <v>1732</v>
      </c>
      <c r="B211">
        <v>46</v>
      </c>
      <c r="C211" t="str">
        <f t="shared" si="3"/>
        <v>Pass</v>
      </c>
      <c r="D211" t="str" cm="1">
        <f t="array" ref="D211">_xlfn.IFS(B211&gt;=80,"A",B211&gt;=60,"B",B211&lt;60,"Pass",B211&lt;33,"Fail")</f>
        <v>Pass</v>
      </c>
    </row>
    <row r="212" spans="1:4">
      <c r="A212" t="s">
        <v>1733</v>
      </c>
      <c r="B212">
        <v>18</v>
      </c>
      <c r="C212" t="str">
        <f t="shared" si="3"/>
        <v>Fail</v>
      </c>
      <c r="D212" t="str" cm="1">
        <f t="array" ref="D212">_xlfn.IFS(B212&gt;=80,"A",B212&gt;=60,"B",B212&lt;60,"Pass",B212&lt;33,"Fail")</f>
        <v>Pass</v>
      </c>
    </row>
    <row r="213" spans="1:4">
      <c r="A213" t="s">
        <v>1734</v>
      </c>
      <c r="B213">
        <v>51</v>
      </c>
      <c r="C213" t="str">
        <f t="shared" si="3"/>
        <v>Pass</v>
      </c>
      <c r="D213" t="str" cm="1">
        <f t="array" ref="D213">_xlfn.IFS(B213&gt;=80,"A",B213&gt;=60,"B",B213&lt;60,"Pass",B213&lt;33,"Fail")</f>
        <v>Pass</v>
      </c>
    </row>
    <row r="214" spans="1:4">
      <c r="A214" t="s">
        <v>1735</v>
      </c>
      <c r="B214">
        <v>42</v>
      </c>
      <c r="C214" t="str">
        <f t="shared" si="3"/>
        <v>Pass</v>
      </c>
      <c r="D214" t="str" cm="1">
        <f t="array" ref="D214">_xlfn.IFS(B214&gt;=80,"A",B214&gt;=60,"B",B214&lt;60,"Pass",B214&lt;33,"Fail")</f>
        <v>Pass</v>
      </c>
    </row>
    <row r="215" spans="1:4">
      <c r="A215" t="s">
        <v>1736</v>
      </c>
      <c r="B215">
        <v>30</v>
      </c>
      <c r="C215" t="str">
        <f t="shared" si="3"/>
        <v>Fail</v>
      </c>
      <c r="D215" t="str" cm="1">
        <f t="array" ref="D215">_xlfn.IFS(B215&gt;=80,"A",B215&gt;=60,"B",B215&lt;60,"Pass",B215&lt;33,"Fail")</f>
        <v>Pass</v>
      </c>
    </row>
    <row r="216" spans="1:4">
      <c r="A216" t="s">
        <v>1737</v>
      </c>
      <c r="B216">
        <v>74</v>
      </c>
      <c r="C216" t="str">
        <f t="shared" si="3"/>
        <v>Pass</v>
      </c>
      <c r="D216" t="str" cm="1">
        <f t="array" ref="D216">_xlfn.IFS(B216&gt;=80,"A",B216&gt;=60,"B",B216&lt;60,"Pass",B216&lt;33,"Fail")</f>
        <v>B</v>
      </c>
    </row>
    <row r="217" spans="1:4">
      <c r="A217" t="s">
        <v>1738</v>
      </c>
      <c r="B217">
        <v>37</v>
      </c>
      <c r="C217" t="str">
        <f t="shared" si="3"/>
        <v>Pass</v>
      </c>
      <c r="D217" t="str" cm="1">
        <f t="array" ref="D217">_xlfn.IFS(B217&gt;=80,"A",B217&gt;=60,"B",B217&lt;60,"Pass",B217&lt;33,"Fail")</f>
        <v>Pass</v>
      </c>
    </row>
    <row r="218" spans="1:4">
      <c r="A218" t="s">
        <v>1739</v>
      </c>
      <c r="B218">
        <v>45</v>
      </c>
      <c r="C218" t="str">
        <f t="shared" si="3"/>
        <v>Pass</v>
      </c>
      <c r="D218" t="str" cm="1">
        <f t="array" ref="D218">_xlfn.IFS(B218&gt;=80,"A",B218&gt;=60,"B",B218&lt;60,"Pass",B218&lt;33,"Fail")</f>
        <v>Pass</v>
      </c>
    </row>
    <row r="219" spans="1:4">
      <c r="A219" t="s">
        <v>1740</v>
      </c>
      <c r="B219">
        <v>35</v>
      </c>
      <c r="C219" t="str">
        <f t="shared" si="3"/>
        <v>Pass</v>
      </c>
      <c r="D219" t="str" cm="1">
        <f t="array" ref="D219">_xlfn.IFS(B219&gt;=80,"A",B219&gt;=60,"B",B219&lt;60,"Pass",B219&lt;33,"Fail")</f>
        <v>Pass</v>
      </c>
    </row>
    <row r="220" spans="1:4">
      <c r="A220" t="s">
        <v>1741</v>
      </c>
      <c r="B220">
        <v>67</v>
      </c>
      <c r="C220" t="str">
        <f t="shared" si="3"/>
        <v>Pass</v>
      </c>
      <c r="D220" t="str" cm="1">
        <f t="array" ref="D220">_xlfn.IFS(B220&gt;=80,"A",B220&gt;=60,"B",B220&lt;60,"Pass",B220&lt;33,"Fail")</f>
        <v>B</v>
      </c>
    </row>
    <row r="221" spans="1:4">
      <c r="A221" t="s">
        <v>1742</v>
      </c>
      <c r="B221">
        <v>37</v>
      </c>
      <c r="C221" t="str">
        <f t="shared" si="3"/>
        <v>Pass</v>
      </c>
      <c r="D221" t="str" cm="1">
        <f t="array" ref="D221">_xlfn.IFS(B221&gt;=80,"A",B221&gt;=60,"B",B221&lt;60,"Pass",B221&lt;33,"Fail")</f>
        <v>Pass</v>
      </c>
    </row>
    <row r="222" spans="1:4">
      <c r="A222" t="s">
        <v>1743</v>
      </c>
      <c r="B222">
        <v>33</v>
      </c>
      <c r="C222" t="str">
        <f t="shared" si="3"/>
        <v>Pass</v>
      </c>
      <c r="D222" t="str" cm="1">
        <f t="array" ref="D222">_xlfn.IFS(B222&gt;=80,"A",B222&gt;=60,"B",B222&lt;60,"Pass",B222&lt;33,"Fail")</f>
        <v>Pass</v>
      </c>
    </row>
    <row r="223" spans="1:4">
      <c r="A223" t="s">
        <v>1744</v>
      </c>
      <c r="B223">
        <v>13</v>
      </c>
      <c r="C223" t="str">
        <f t="shared" si="3"/>
        <v>Fail</v>
      </c>
      <c r="D223" t="str" cm="1">
        <f t="array" ref="D223">_xlfn.IFS(B223&gt;=80,"A",B223&gt;=60,"B",B223&lt;60,"Pass",B223&lt;33,"Fail")</f>
        <v>Pass</v>
      </c>
    </row>
    <row r="224" spans="1:4">
      <c r="A224" t="s">
        <v>1745</v>
      </c>
      <c r="B224">
        <v>51</v>
      </c>
      <c r="C224" t="str">
        <f t="shared" si="3"/>
        <v>Pass</v>
      </c>
      <c r="D224" t="str" cm="1">
        <f t="array" ref="D224">_xlfn.IFS(B224&gt;=80,"A",B224&gt;=60,"B",B224&lt;60,"Pass",B224&lt;33,"Fail")</f>
        <v>Pass</v>
      </c>
    </row>
    <row r="225" spans="1:4">
      <c r="A225" t="s">
        <v>1746</v>
      </c>
      <c r="B225">
        <v>40</v>
      </c>
      <c r="C225" t="str">
        <f t="shared" si="3"/>
        <v>Pass</v>
      </c>
      <c r="D225" t="str" cm="1">
        <f t="array" ref="D225">_xlfn.IFS(B225&gt;=80,"A",B225&gt;=60,"B",B225&lt;60,"Pass",B225&lt;33,"Fail")</f>
        <v>Pass</v>
      </c>
    </row>
    <row r="226" spans="1:4">
      <c r="A226" t="s">
        <v>1747</v>
      </c>
      <c r="B226">
        <v>24</v>
      </c>
      <c r="C226" t="str">
        <f t="shared" si="3"/>
        <v>Fail</v>
      </c>
      <c r="D226" t="str" cm="1">
        <f t="array" ref="D226">_xlfn.IFS(B226&gt;=80,"A",B226&gt;=60,"B",B226&lt;60,"Pass",B226&lt;33,"Fail")</f>
        <v>Pass</v>
      </c>
    </row>
    <row r="227" spans="1:4">
      <c r="A227" t="s">
        <v>1748</v>
      </c>
      <c r="B227">
        <v>14</v>
      </c>
      <c r="C227" t="str">
        <f t="shared" si="3"/>
        <v>Fail</v>
      </c>
      <c r="D227" t="str" cm="1">
        <f t="array" ref="D227">_xlfn.IFS(B227&gt;=80,"A",B227&gt;=60,"B",B227&lt;60,"Pass",B227&lt;33,"Fail")</f>
        <v>Pass</v>
      </c>
    </row>
    <row r="228" spans="1:4">
      <c r="A228" t="s">
        <v>1749</v>
      </c>
      <c r="B228">
        <v>33</v>
      </c>
      <c r="C228" t="str">
        <f t="shared" si="3"/>
        <v>Pass</v>
      </c>
      <c r="D228" t="str" cm="1">
        <f t="array" ref="D228">_xlfn.IFS(B228&gt;=80,"A",B228&gt;=60,"B",B228&lt;60,"Pass",B228&lt;33,"Fail")</f>
        <v>Pass</v>
      </c>
    </row>
    <row r="229" spans="1:4">
      <c r="A229" t="s">
        <v>1750</v>
      </c>
      <c r="B229">
        <v>91</v>
      </c>
      <c r="C229" t="str">
        <f t="shared" si="3"/>
        <v>Pass</v>
      </c>
      <c r="D229" t="str" cm="1">
        <f t="array" ref="D229">_xlfn.IFS(B229&gt;=80,"A",B229&gt;=60,"B",B229&lt;60,"Pass",B229&lt;33,"Fail")</f>
        <v>A</v>
      </c>
    </row>
    <row r="230" spans="1:4">
      <c r="A230" t="s">
        <v>1751</v>
      </c>
      <c r="B230">
        <v>53</v>
      </c>
      <c r="C230" t="str">
        <f t="shared" si="3"/>
        <v>Pass</v>
      </c>
      <c r="D230" t="str" cm="1">
        <f t="array" ref="D230">_xlfn.IFS(B230&gt;=80,"A",B230&gt;=60,"B",B230&lt;60,"Pass",B230&lt;33,"Fail")</f>
        <v>Pass</v>
      </c>
    </row>
    <row r="231" spans="1:4">
      <c r="A231" t="s">
        <v>1752</v>
      </c>
      <c r="B231">
        <v>31</v>
      </c>
      <c r="C231" t="str">
        <f t="shared" si="3"/>
        <v>Fail</v>
      </c>
      <c r="D231" t="str" cm="1">
        <f t="array" ref="D231">_xlfn.IFS(B231&gt;=80,"A",B231&gt;=60,"B",B231&lt;60,"Pass",B231&lt;33,"Fail")</f>
        <v>Pass</v>
      </c>
    </row>
    <row r="232" spans="1:4">
      <c r="A232" t="s">
        <v>1753</v>
      </c>
      <c r="B232">
        <v>65</v>
      </c>
      <c r="C232" t="str">
        <f t="shared" si="3"/>
        <v>Pass</v>
      </c>
      <c r="D232" t="str" cm="1">
        <f t="array" ref="D232">_xlfn.IFS(B232&gt;=80,"A",B232&gt;=60,"B",B232&lt;60,"Pass",B232&lt;33,"Fail")</f>
        <v>B</v>
      </c>
    </row>
    <row r="233" spans="1:4">
      <c r="A233" t="s">
        <v>1754</v>
      </c>
      <c r="B233">
        <v>10</v>
      </c>
      <c r="C233" t="str">
        <f t="shared" si="3"/>
        <v>Fail</v>
      </c>
      <c r="D233" t="str" cm="1">
        <f t="array" ref="D233">_xlfn.IFS(B233&gt;=80,"A",B233&gt;=60,"B",B233&lt;60,"Pass",B233&lt;33,"Fail")</f>
        <v>Pass</v>
      </c>
    </row>
    <row r="234" spans="1:4">
      <c r="A234" t="s">
        <v>1755</v>
      </c>
      <c r="B234">
        <v>63</v>
      </c>
      <c r="C234" t="str">
        <f t="shared" si="3"/>
        <v>Pass</v>
      </c>
      <c r="D234" t="str" cm="1">
        <f t="array" ref="D234">_xlfn.IFS(B234&gt;=80,"A",B234&gt;=60,"B",B234&lt;60,"Pass",B234&lt;33,"Fail")</f>
        <v>B</v>
      </c>
    </row>
    <row r="235" spans="1:4">
      <c r="A235" t="s">
        <v>1756</v>
      </c>
      <c r="B235">
        <v>40</v>
      </c>
      <c r="C235" t="str">
        <f t="shared" si="3"/>
        <v>Pass</v>
      </c>
      <c r="D235" t="str" cm="1">
        <f t="array" ref="D235">_xlfn.IFS(B235&gt;=80,"A",B235&gt;=60,"B",B235&lt;60,"Pass",B235&lt;33,"Fail")</f>
        <v>Pass</v>
      </c>
    </row>
    <row r="236" spans="1:4">
      <c r="A236" t="s">
        <v>1757</v>
      </c>
      <c r="B236">
        <v>29</v>
      </c>
      <c r="C236" t="str">
        <f t="shared" si="3"/>
        <v>Fail</v>
      </c>
      <c r="D236" t="str" cm="1">
        <f t="array" ref="D236">_xlfn.IFS(B236&gt;=80,"A",B236&gt;=60,"B",B236&lt;60,"Pass",B236&lt;33,"Fail")</f>
        <v>Pass</v>
      </c>
    </row>
    <row r="237" spans="1:4">
      <c r="A237" t="s">
        <v>1758</v>
      </c>
      <c r="B237">
        <v>51</v>
      </c>
      <c r="C237" t="str">
        <f t="shared" si="3"/>
        <v>Pass</v>
      </c>
      <c r="D237" t="str" cm="1">
        <f t="array" ref="D237">_xlfn.IFS(B237&gt;=80,"A",B237&gt;=60,"B",B237&lt;60,"Pass",B237&lt;33,"Fail")</f>
        <v>Pass</v>
      </c>
    </row>
    <row r="238" spans="1:4">
      <c r="A238" t="s">
        <v>1759</v>
      </c>
      <c r="B238">
        <v>64</v>
      </c>
      <c r="C238" t="str">
        <f t="shared" si="3"/>
        <v>Pass</v>
      </c>
      <c r="D238" t="str" cm="1">
        <f t="array" ref="D238">_xlfn.IFS(B238&gt;=80,"A",B238&gt;=60,"B",B238&lt;60,"Pass",B238&lt;33,"Fail")</f>
        <v>B</v>
      </c>
    </row>
    <row r="239" spans="1:4">
      <c r="A239" t="s">
        <v>1760</v>
      </c>
      <c r="B239">
        <v>15</v>
      </c>
      <c r="C239" t="str">
        <f t="shared" si="3"/>
        <v>Fail</v>
      </c>
      <c r="D239" t="str" cm="1">
        <f t="array" ref="D239">_xlfn.IFS(B239&gt;=80,"A",B239&gt;=60,"B",B239&lt;60,"Pass",B239&lt;33,"Fail")</f>
        <v>Pass</v>
      </c>
    </row>
    <row r="240" spans="1:4">
      <c r="A240" t="s">
        <v>1761</v>
      </c>
      <c r="B240">
        <v>44</v>
      </c>
      <c r="C240" t="str">
        <f t="shared" si="3"/>
        <v>Pass</v>
      </c>
      <c r="D240" t="str" cm="1">
        <f t="array" ref="D240">_xlfn.IFS(B240&gt;=80,"A",B240&gt;=60,"B",B240&lt;60,"Pass",B240&lt;33,"Fail")</f>
        <v>Pass</v>
      </c>
    </row>
    <row r="241" spans="1:4">
      <c r="A241" t="s">
        <v>1762</v>
      </c>
      <c r="B241">
        <v>98</v>
      </c>
      <c r="C241" t="str">
        <f t="shared" si="3"/>
        <v>Pass</v>
      </c>
      <c r="D241" t="str" cm="1">
        <f t="array" ref="D241">_xlfn.IFS(B241&gt;=80,"A",B241&gt;=60,"B",B241&lt;60,"Pass",B241&lt;33,"Fail")</f>
        <v>A</v>
      </c>
    </row>
    <row r="242" spans="1:4">
      <c r="A242" t="s">
        <v>1763</v>
      </c>
      <c r="B242">
        <v>9</v>
      </c>
      <c r="C242" t="str">
        <f t="shared" si="3"/>
        <v>Fail</v>
      </c>
      <c r="D242" t="str" cm="1">
        <f t="array" ref="D242">_xlfn.IFS(B242&gt;=80,"A",B242&gt;=60,"B",B242&lt;60,"Pass",B242&lt;33,"Fail")</f>
        <v>Pass</v>
      </c>
    </row>
    <row r="243" spans="1:4">
      <c r="A243" t="s">
        <v>1764</v>
      </c>
      <c r="B243">
        <v>40</v>
      </c>
      <c r="C243" t="str">
        <f t="shared" si="3"/>
        <v>Pass</v>
      </c>
      <c r="D243" t="str" cm="1">
        <f t="array" ref="D243">_xlfn.IFS(B243&gt;=80,"A",B243&gt;=60,"B",B243&lt;60,"Pass",B243&lt;33,"Fail")</f>
        <v>Pass</v>
      </c>
    </row>
    <row r="244" spans="1:4">
      <c r="A244" t="s">
        <v>1765</v>
      </c>
      <c r="B244">
        <v>17</v>
      </c>
      <c r="C244" t="str">
        <f t="shared" si="3"/>
        <v>Fail</v>
      </c>
      <c r="D244" t="str" cm="1">
        <f t="array" ref="D244">_xlfn.IFS(B244&gt;=80,"A",B244&gt;=60,"B",B244&lt;60,"Pass",B244&lt;33,"Fail")</f>
        <v>Pass</v>
      </c>
    </row>
    <row r="245" spans="1:4">
      <c r="A245" t="s">
        <v>1766</v>
      </c>
      <c r="B245">
        <v>56</v>
      </c>
      <c r="C245" t="str">
        <f t="shared" si="3"/>
        <v>Pass</v>
      </c>
      <c r="D245" t="str" cm="1">
        <f t="array" ref="D245">_xlfn.IFS(B245&gt;=80,"A",B245&gt;=60,"B",B245&lt;60,"Pass",B245&lt;33,"Fail")</f>
        <v>Pass</v>
      </c>
    </row>
    <row r="246" spans="1:4">
      <c r="A246" t="s">
        <v>1767</v>
      </c>
      <c r="B246">
        <v>12</v>
      </c>
      <c r="C246" t="str">
        <f t="shared" si="3"/>
        <v>Fail</v>
      </c>
      <c r="D246" t="str" cm="1">
        <f t="array" ref="D246">_xlfn.IFS(B246&gt;=80,"A",B246&gt;=60,"B",B246&lt;60,"Pass",B246&lt;33,"Fail")</f>
        <v>Pass</v>
      </c>
    </row>
    <row r="247" spans="1:4">
      <c r="A247" t="s">
        <v>1768</v>
      </c>
      <c r="B247">
        <v>66</v>
      </c>
      <c r="C247" t="str">
        <f t="shared" si="3"/>
        <v>Pass</v>
      </c>
      <c r="D247" t="str" cm="1">
        <f t="array" ref="D247">_xlfn.IFS(B247&gt;=80,"A",B247&gt;=60,"B",B247&lt;60,"Pass",B247&lt;33,"Fail")</f>
        <v>B</v>
      </c>
    </row>
    <row r="248" spans="1:4">
      <c r="A248" t="s">
        <v>1769</v>
      </c>
      <c r="B248">
        <v>63</v>
      </c>
      <c r="C248" t="str">
        <f t="shared" si="3"/>
        <v>Pass</v>
      </c>
      <c r="D248" t="str" cm="1">
        <f t="array" ref="D248">_xlfn.IFS(B248&gt;=80,"A",B248&gt;=60,"B",B248&lt;60,"Pass",B248&lt;33,"Fail")</f>
        <v>B</v>
      </c>
    </row>
    <row r="249" spans="1:4">
      <c r="A249" t="s">
        <v>1770</v>
      </c>
      <c r="B249">
        <v>41</v>
      </c>
      <c r="C249" t="str">
        <f t="shared" si="3"/>
        <v>Pass</v>
      </c>
      <c r="D249" t="str" cm="1">
        <f t="array" ref="D249">_xlfn.IFS(B249&gt;=80,"A",B249&gt;=60,"B",B249&lt;60,"Pass",B249&lt;33,"Fail")</f>
        <v>Pass</v>
      </c>
    </row>
    <row r="250" spans="1:4">
      <c r="A250" t="s">
        <v>1771</v>
      </c>
      <c r="B250">
        <v>81</v>
      </c>
      <c r="C250" t="str">
        <f t="shared" si="3"/>
        <v>Pass</v>
      </c>
      <c r="D250" t="str" cm="1">
        <f t="array" ref="D250">_xlfn.IFS(B250&gt;=80,"A",B250&gt;=60,"B",B250&lt;60,"Pass",B250&lt;33,"Fail")</f>
        <v>A</v>
      </c>
    </row>
    <row r="251" spans="1:4">
      <c r="A251" t="s">
        <v>1772</v>
      </c>
      <c r="B251">
        <v>20</v>
      </c>
      <c r="C251" t="str">
        <f t="shared" si="3"/>
        <v>Fail</v>
      </c>
      <c r="D251" t="str" cm="1">
        <f t="array" ref="D251">_xlfn.IFS(B251&gt;=80,"A",B251&gt;=60,"B",B251&lt;60,"Pass",B251&lt;33,"Fail")</f>
        <v>Pass</v>
      </c>
    </row>
    <row r="252" spans="1:4">
      <c r="A252" t="s">
        <v>1773</v>
      </c>
      <c r="B252">
        <v>66</v>
      </c>
      <c r="C252" t="str">
        <f t="shared" si="3"/>
        <v>Pass</v>
      </c>
      <c r="D252" t="str" cm="1">
        <f t="array" ref="D252">_xlfn.IFS(B252&gt;=80,"A",B252&gt;=60,"B",B252&lt;60,"Pass",B252&lt;33,"Fail")</f>
        <v>B</v>
      </c>
    </row>
    <row r="253" spans="1:4">
      <c r="A253" t="s">
        <v>1774</v>
      </c>
      <c r="B253">
        <v>72</v>
      </c>
      <c r="C253" t="str">
        <f t="shared" si="3"/>
        <v>Pass</v>
      </c>
      <c r="D253" t="str" cm="1">
        <f t="array" ref="D253">_xlfn.IFS(B253&gt;=80,"A",B253&gt;=60,"B",B253&lt;60,"Pass",B253&lt;33,"Fail")</f>
        <v>B</v>
      </c>
    </row>
    <row r="254" spans="1:4">
      <c r="A254" t="s">
        <v>1775</v>
      </c>
      <c r="B254">
        <v>40</v>
      </c>
      <c r="C254" t="str">
        <f t="shared" si="3"/>
        <v>Pass</v>
      </c>
      <c r="D254" t="str" cm="1">
        <f t="array" ref="D254">_xlfn.IFS(B254&gt;=80,"A",B254&gt;=60,"B",B254&lt;60,"Pass",B254&lt;33,"Fail")</f>
        <v>Pass</v>
      </c>
    </row>
    <row r="255" spans="1:4">
      <c r="A255" t="s">
        <v>1776</v>
      </c>
      <c r="B255">
        <v>37</v>
      </c>
      <c r="C255" t="str">
        <f t="shared" si="3"/>
        <v>Pass</v>
      </c>
      <c r="D255" t="str" cm="1">
        <f t="array" ref="D255">_xlfn.IFS(B255&gt;=80,"A",B255&gt;=60,"B",B255&lt;60,"Pass",B255&lt;33,"Fail")</f>
        <v>Pass</v>
      </c>
    </row>
    <row r="256" spans="1:4">
      <c r="A256" t="s">
        <v>1777</v>
      </c>
      <c r="B256">
        <v>75</v>
      </c>
      <c r="C256" t="str">
        <f t="shared" si="3"/>
        <v>Pass</v>
      </c>
      <c r="D256" t="str" cm="1">
        <f t="array" ref="D256">_xlfn.IFS(B256&gt;=80,"A",B256&gt;=60,"B",B256&lt;60,"Pass",B256&lt;33,"Fail")</f>
        <v>B</v>
      </c>
    </row>
    <row r="257" spans="1:4">
      <c r="A257" t="s">
        <v>1778</v>
      </c>
      <c r="B257">
        <v>81</v>
      </c>
      <c r="C257" t="str">
        <f t="shared" si="3"/>
        <v>Pass</v>
      </c>
      <c r="D257" t="str" cm="1">
        <f t="array" ref="D257">_xlfn.IFS(B257&gt;=80,"A",B257&gt;=60,"B",B257&lt;60,"Pass",B257&lt;33,"Fail")</f>
        <v>A</v>
      </c>
    </row>
    <row r="258" spans="1:4">
      <c r="A258" t="s">
        <v>1779</v>
      </c>
      <c r="B258">
        <v>49</v>
      </c>
      <c r="C258" t="str">
        <f t="shared" si="3"/>
        <v>Pass</v>
      </c>
      <c r="D258" t="str" cm="1">
        <f t="array" ref="D258">_xlfn.IFS(B258&gt;=80,"A",B258&gt;=60,"B",B258&lt;60,"Pass",B258&lt;33,"Fail")</f>
        <v>Pass</v>
      </c>
    </row>
    <row r="259" spans="1:4">
      <c r="A259" t="s">
        <v>1780</v>
      </c>
      <c r="B259">
        <v>90</v>
      </c>
      <c r="C259" t="str">
        <f t="shared" ref="C259:C322" si="4">IF(B259&gt;=33,"Pass","Fail")</f>
        <v>Pass</v>
      </c>
      <c r="D259" t="str" cm="1">
        <f t="array" ref="D259">_xlfn.IFS(B259&gt;=80,"A",B259&gt;=60,"B",B259&lt;60,"Pass",B259&lt;33,"Fail")</f>
        <v>A</v>
      </c>
    </row>
    <row r="260" spans="1:4">
      <c r="A260" t="s">
        <v>1781</v>
      </c>
      <c r="B260">
        <v>52</v>
      </c>
      <c r="C260" t="str">
        <f t="shared" si="4"/>
        <v>Pass</v>
      </c>
      <c r="D260" t="str" cm="1">
        <f t="array" ref="D260">_xlfn.IFS(B260&gt;=80,"A",B260&gt;=60,"B",B260&lt;60,"Pass",B260&lt;33,"Fail")</f>
        <v>Pass</v>
      </c>
    </row>
    <row r="261" spans="1:4">
      <c r="A261" t="s">
        <v>1782</v>
      </c>
      <c r="B261">
        <v>86</v>
      </c>
      <c r="C261" t="str">
        <f t="shared" si="4"/>
        <v>Pass</v>
      </c>
      <c r="D261" t="str" cm="1">
        <f t="array" ref="D261">_xlfn.IFS(B261&gt;=80,"A",B261&gt;=60,"B",B261&lt;60,"Pass",B261&lt;33,"Fail")</f>
        <v>A</v>
      </c>
    </row>
    <row r="262" spans="1:4">
      <c r="A262" t="s">
        <v>1783</v>
      </c>
      <c r="B262">
        <v>12</v>
      </c>
      <c r="C262" t="str">
        <f t="shared" si="4"/>
        <v>Fail</v>
      </c>
      <c r="D262" t="str" cm="1">
        <f t="array" ref="D262">_xlfn.IFS(B262&gt;=80,"A",B262&gt;=60,"B",B262&lt;60,"Pass",B262&lt;33,"Fail")</f>
        <v>Pass</v>
      </c>
    </row>
    <row r="263" spans="1:4">
      <c r="A263" t="s">
        <v>1784</v>
      </c>
      <c r="B263">
        <v>16</v>
      </c>
      <c r="C263" t="str">
        <f t="shared" si="4"/>
        <v>Fail</v>
      </c>
      <c r="D263" t="str" cm="1">
        <f t="array" ref="D263">_xlfn.IFS(B263&gt;=80,"A",B263&gt;=60,"B",B263&lt;60,"Pass",B263&lt;33,"Fail")</f>
        <v>Pass</v>
      </c>
    </row>
    <row r="264" spans="1:4">
      <c r="A264" t="s">
        <v>1785</v>
      </c>
      <c r="B264">
        <v>36</v>
      </c>
      <c r="C264" t="str">
        <f t="shared" si="4"/>
        <v>Pass</v>
      </c>
      <c r="D264" t="str" cm="1">
        <f t="array" ref="D264">_xlfn.IFS(B264&gt;=80,"A",B264&gt;=60,"B",B264&lt;60,"Pass",B264&lt;33,"Fail")</f>
        <v>Pass</v>
      </c>
    </row>
    <row r="265" spans="1:4">
      <c r="A265" t="s">
        <v>1786</v>
      </c>
      <c r="B265">
        <v>0</v>
      </c>
      <c r="C265" t="str">
        <f t="shared" si="4"/>
        <v>Fail</v>
      </c>
      <c r="D265" t="str" cm="1">
        <f t="array" ref="D265">_xlfn.IFS(B265&gt;=80,"A",B265&gt;=60,"B",B265&lt;60,"Pass",B265&lt;33,"Fail")</f>
        <v>Pass</v>
      </c>
    </row>
    <row r="266" spans="1:4">
      <c r="A266" t="s">
        <v>1787</v>
      </c>
      <c r="B266">
        <v>67</v>
      </c>
      <c r="C266" t="str">
        <f t="shared" si="4"/>
        <v>Pass</v>
      </c>
      <c r="D266" t="str" cm="1">
        <f t="array" ref="D266">_xlfn.IFS(B266&gt;=80,"A",B266&gt;=60,"B",B266&lt;60,"Pass",B266&lt;33,"Fail")</f>
        <v>B</v>
      </c>
    </row>
    <row r="267" spans="1:4">
      <c r="A267" t="s">
        <v>1788</v>
      </c>
      <c r="B267">
        <v>86</v>
      </c>
      <c r="C267" t="str">
        <f t="shared" si="4"/>
        <v>Pass</v>
      </c>
      <c r="D267" t="str" cm="1">
        <f t="array" ref="D267">_xlfn.IFS(B267&gt;=80,"A",B267&gt;=60,"B",B267&lt;60,"Pass",B267&lt;33,"Fail")</f>
        <v>A</v>
      </c>
    </row>
    <row r="268" spans="1:4">
      <c r="A268" t="s">
        <v>1789</v>
      </c>
      <c r="B268">
        <v>83</v>
      </c>
      <c r="C268" t="str">
        <f t="shared" si="4"/>
        <v>Pass</v>
      </c>
      <c r="D268" t="str" cm="1">
        <f t="array" ref="D268">_xlfn.IFS(B268&gt;=80,"A",B268&gt;=60,"B",B268&lt;60,"Pass",B268&lt;33,"Fail")</f>
        <v>A</v>
      </c>
    </row>
    <row r="269" spans="1:4">
      <c r="A269" t="s">
        <v>1790</v>
      </c>
      <c r="B269">
        <v>7</v>
      </c>
      <c r="C269" t="str">
        <f t="shared" si="4"/>
        <v>Fail</v>
      </c>
      <c r="D269" t="str" cm="1">
        <f t="array" ref="D269">_xlfn.IFS(B269&gt;=80,"A",B269&gt;=60,"B",B269&lt;60,"Pass",B269&lt;33,"Fail")</f>
        <v>Pass</v>
      </c>
    </row>
    <row r="270" spans="1:4">
      <c r="A270" t="s">
        <v>1791</v>
      </c>
      <c r="B270">
        <v>72</v>
      </c>
      <c r="C270" t="str">
        <f t="shared" si="4"/>
        <v>Pass</v>
      </c>
      <c r="D270" t="str" cm="1">
        <f t="array" ref="D270">_xlfn.IFS(B270&gt;=80,"A",B270&gt;=60,"B",B270&lt;60,"Pass",B270&lt;33,"Fail")</f>
        <v>B</v>
      </c>
    </row>
    <row r="271" spans="1:4">
      <c r="A271" t="s">
        <v>1792</v>
      </c>
      <c r="B271">
        <v>99</v>
      </c>
      <c r="C271" t="str">
        <f t="shared" si="4"/>
        <v>Pass</v>
      </c>
      <c r="D271" t="str" cm="1">
        <f t="array" ref="D271">_xlfn.IFS(B271&gt;=80,"A",B271&gt;=60,"B",B271&lt;60,"Pass",B271&lt;33,"Fail")</f>
        <v>A</v>
      </c>
    </row>
    <row r="272" spans="1:4">
      <c r="A272" t="s">
        <v>1793</v>
      </c>
      <c r="B272">
        <v>86</v>
      </c>
      <c r="C272" t="str">
        <f t="shared" si="4"/>
        <v>Pass</v>
      </c>
      <c r="D272" t="str" cm="1">
        <f t="array" ref="D272">_xlfn.IFS(B272&gt;=80,"A",B272&gt;=60,"B",B272&lt;60,"Pass",B272&lt;33,"Fail")</f>
        <v>A</v>
      </c>
    </row>
    <row r="273" spans="1:4">
      <c r="A273" t="s">
        <v>1794</v>
      </c>
      <c r="B273">
        <v>9</v>
      </c>
      <c r="C273" t="str">
        <f t="shared" si="4"/>
        <v>Fail</v>
      </c>
      <c r="D273" t="str" cm="1">
        <f t="array" ref="D273">_xlfn.IFS(B273&gt;=80,"A",B273&gt;=60,"B",B273&lt;60,"Pass",B273&lt;33,"Fail")</f>
        <v>Pass</v>
      </c>
    </row>
    <row r="274" spans="1:4">
      <c r="A274" t="s">
        <v>1795</v>
      </c>
      <c r="B274">
        <v>95</v>
      </c>
      <c r="C274" t="str">
        <f t="shared" si="4"/>
        <v>Pass</v>
      </c>
      <c r="D274" t="str" cm="1">
        <f t="array" ref="D274">_xlfn.IFS(B274&gt;=80,"A",B274&gt;=60,"B",B274&lt;60,"Pass",B274&lt;33,"Fail")</f>
        <v>A</v>
      </c>
    </row>
    <row r="275" spans="1:4">
      <c r="A275" t="s">
        <v>1796</v>
      </c>
      <c r="B275">
        <v>42</v>
      </c>
      <c r="C275" t="str">
        <f t="shared" si="4"/>
        <v>Pass</v>
      </c>
      <c r="D275" t="str" cm="1">
        <f t="array" ref="D275">_xlfn.IFS(B275&gt;=80,"A",B275&gt;=60,"B",B275&lt;60,"Pass",B275&lt;33,"Fail")</f>
        <v>Pass</v>
      </c>
    </row>
    <row r="276" spans="1:4">
      <c r="A276" t="s">
        <v>1797</v>
      </c>
      <c r="B276">
        <v>56</v>
      </c>
      <c r="C276" t="str">
        <f t="shared" si="4"/>
        <v>Pass</v>
      </c>
      <c r="D276" t="str" cm="1">
        <f t="array" ref="D276">_xlfn.IFS(B276&gt;=80,"A",B276&gt;=60,"B",B276&lt;60,"Pass",B276&lt;33,"Fail")</f>
        <v>Pass</v>
      </c>
    </row>
    <row r="277" spans="1:4">
      <c r="A277" t="s">
        <v>1798</v>
      </c>
      <c r="B277">
        <v>72</v>
      </c>
      <c r="C277" t="str">
        <f t="shared" si="4"/>
        <v>Pass</v>
      </c>
      <c r="D277" t="str" cm="1">
        <f t="array" ref="D277">_xlfn.IFS(B277&gt;=80,"A",B277&gt;=60,"B",B277&lt;60,"Pass",B277&lt;33,"Fail")</f>
        <v>B</v>
      </c>
    </row>
    <row r="278" spans="1:4">
      <c r="A278" t="s">
        <v>1799</v>
      </c>
      <c r="B278">
        <v>31</v>
      </c>
      <c r="C278" t="str">
        <f t="shared" si="4"/>
        <v>Fail</v>
      </c>
      <c r="D278" t="str" cm="1">
        <f t="array" ref="D278">_xlfn.IFS(B278&gt;=80,"A",B278&gt;=60,"B",B278&lt;60,"Pass",B278&lt;33,"Fail")</f>
        <v>Pass</v>
      </c>
    </row>
    <row r="279" spans="1:4">
      <c r="A279" t="s">
        <v>1800</v>
      </c>
      <c r="B279">
        <v>86</v>
      </c>
      <c r="C279" t="str">
        <f t="shared" si="4"/>
        <v>Pass</v>
      </c>
      <c r="D279" t="str" cm="1">
        <f t="array" ref="D279">_xlfn.IFS(B279&gt;=80,"A",B279&gt;=60,"B",B279&lt;60,"Pass",B279&lt;33,"Fail")</f>
        <v>A</v>
      </c>
    </row>
    <row r="280" spans="1:4">
      <c r="A280" t="s">
        <v>1801</v>
      </c>
      <c r="B280">
        <v>44</v>
      </c>
      <c r="C280" t="str">
        <f t="shared" si="4"/>
        <v>Pass</v>
      </c>
      <c r="D280" t="str" cm="1">
        <f t="array" ref="D280">_xlfn.IFS(B280&gt;=80,"A",B280&gt;=60,"B",B280&lt;60,"Pass",B280&lt;33,"Fail")</f>
        <v>Pass</v>
      </c>
    </row>
    <row r="281" spans="1:4">
      <c r="A281" t="s">
        <v>1802</v>
      </c>
      <c r="B281">
        <v>53</v>
      </c>
      <c r="C281" t="str">
        <f t="shared" si="4"/>
        <v>Pass</v>
      </c>
      <c r="D281" t="str" cm="1">
        <f t="array" ref="D281">_xlfn.IFS(B281&gt;=80,"A",B281&gt;=60,"B",B281&lt;60,"Pass",B281&lt;33,"Fail")</f>
        <v>Pass</v>
      </c>
    </row>
    <row r="282" spans="1:4">
      <c r="A282" t="s">
        <v>1803</v>
      </c>
      <c r="B282">
        <v>42</v>
      </c>
      <c r="C282" t="str">
        <f t="shared" si="4"/>
        <v>Pass</v>
      </c>
      <c r="D282" t="str" cm="1">
        <f t="array" ref="D282">_xlfn.IFS(B282&gt;=80,"A",B282&gt;=60,"B",B282&lt;60,"Pass",B282&lt;33,"Fail")</f>
        <v>Pass</v>
      </c>
    </row>
    <row r="283" spans="1:4">
      <c r="A283" t="s">
        <v>1804</v>
      </c>
      <c r="B283">
        <v>9</v>
      </c>
      <c r="C283" t="str">
        <f t="shared" si="4"/>
        <v>Fail</v>
      </c>
      <c r="D283" t="str" cm="1">
        <f t="array" ref="D283">_xlfn.IFS(B283&gt;=80,"A",B283&gt;=60,"B",B283&lt;60,"Pass",B283&lt;33,"Fail")</f>
        <v>Pass</v>
      </c>
    </row>
    <row r="284" spans="1:4">
      <c r="A284" t="s">
        <v>1805</v>
      </c>
      <c r="B284">
        <v>49</v>
      </c>
      <c r="C284" t="str">
        <f t="shared" si="4"/>
        <v>Pass</v>
      </c>
      <c r="D284" t="str" cm="1">
        <f t="array" ref="D284">_xlfn.IFS(B284&gt;=80,"A",B284&gt;=60,"B",B284&lt;60,"Pass",B284&lt;33,"Fail")</f>
        <v>Pass</v>
      </c>
    </row>
    <row r="285" spans="1:4">
      <c r="A285" t="s">
        <v>1806</v>
      </c>
      <c r="B285">
        <v>70</v>
      </c>
      <c r="C285" t="str">
        <f t="shared" si="4"/>
        <v>Pass</v>
      </c>
      <c r="D285" t="str" cm="1">
        <f t="array" ref="D285">_xlfn.IFS(B285&gt;=80,"A",B285&gt;=60,"B",B285&lt;60,"Pass",B285&lt;33,"Fail")</f>
        <v>B</v>
      </c>
    </row>
    <row r="286" spans="1:4">
      <c r="A286" t="s">
        <v>1807</v>
      </c>
      <c r="B286">
        <v>85</v>
      </c>
      <c r="C286" t="str">
        <f t="shared" si="4"/>
        <v>Pass</v>
      </c>
      <c r="D286" t="str" cm="1">
        <f t="array" ref="D286">_xlfn.IFS(B286&gt;=80,"A",B286&gt;=60,"B",B286&lt;60,"Pass",B286&lt;33,"Fail")</f>
        <v>A</v>
      </c>
    </row>
    <row r="287" spans="1:4">
      <c r="A287" t="s">
        <v>1808</v>
      </c>
      <c r="B287">
        <v>25</v>
      </c>
      <c r="C287" t="str">
        <f t="shared" si="4"/>
        <v>Fail</v>
      </c>
      <c r="D287" t="str" cm="1">
        <f t="array" ref="D287">_xlfn.IFS(B287&gt;=80,"A",B287&gt;=60,"B",B287&lt;60,"Pass",B287&lt;33,"Fail")</f>
        <v>Pass</v>
      </c>
    </row>
    <row r="288" spans="1:4">
      <c r="A288" t="s">
        <v>1809</v>
      </c>
      <c r="B288">
        <v>31</v>
      </c>
      <c r="C288" t="str">
        <f t="shared" si="4"/>
        <v>Fail</v>
      </c>
      <c r="D288" t="str" cm="1">
        <f t="array" ref="D288">_xlfn.IFS(B288&gt;=80,"A",B288&gt;=60,"B",B288&lt;60,"Pass",B288&lt;33,"Fail")</f>
        <v>Pass</v>
      </c>
    </row>
    <row r="289" spans="1:4">
      <c r="A289" t="s">
        <v>1810</v>
      </c>
      <c r="B289">
        <v>19</v>
      </c>
      <c r="C289" t="str">
        <f t="shared" si="4"/>
        <v>Fail</v>
      </c>
      <c r="D289" t="str" cm="1">
        <f t="array" ref="D289">_xlfn.IFS(B289&gt;=80,"A",B289&gt;=60,"B",B289&lt;60,"Pass",B289&lt;33,"Fail")</f>
        <v>Pass</v>
      </c>
    </row>
    <row r="290" spans="1:4">
      <c r="A290" t="s">
        <v>1811</v>
      </c>
      <c r="B290">
        <v>71</v>
      </c>
      <c r="C290" t="str">
        <f t="shared" si="4"/>
        <v>Pass</v>
      </c>
      <c r="D290" t="str" cm="1">
        <f t="array" ref="D290">_xlfn.IFS(B290&gt;=80,"A",B290&gt;=60,"B",B290&lt;60,"Pass",B290&lt;33,"Fail")</f>
        <v>B</v>
      </c>
    </row>
    <row r="291" spans="1:4">
      <c r="A291" t="s">
        <v>1812</v>
      </c>
      <c r="B291">
        <v>61</v>
      </c>
      <c r="C291" t="str">
        <f t="shared" si="4"/>
        <v>Pass</v>
      </c>
      <c r="D291" t="str" cm="1">
        <f t="array" ref="D291">_xlfn.IFS(B291&gt;=80,"A",B291&gt;=60,"B",B291&lt;60,"Pass",B291&lt;33,"Fail")</f>
        <v>B</v>
      </c>
    </row>
    <row r="292" spans="1:4">
      <c r="A292" t="s">
        <v>1813</v>
      </c>
      <c r="B292">
        <v>11</v>
      </c>
      <c r="C292" t="str">
        <f t="shared" si="4"/>
        <v>Fail</v>
      </c>
      <c r="D292" t="str" cm="1">
        <f t="array" ref="D292">_xlfn.IFS(B292&gt;=80,"A",B292&gt;=60,"B",B292&lt;60,"Pass",B292&lt;33,"Fail")</f>
        <v>Pass</v>
      </c>
    </row>
    <row r="293" spans="1:4">
      <c r="A293" t="s">
        <v>1814</v>
      </c>
      <c r="B293">
        <v>41</v>
      </c>
      <c r="C293" t="str">
        <f t="shared" si="4"/>
        <v>Pass</v>
      </c>
      <c r="D293" t="str" cm="1">
        <f t="array" ref="D293">_xlfn.IFS(B293&gt;=80,"A",B293&gt;=60,"B",B293&lt;60,"Pass",B293&lt;33,"Fail")</f>
        <v>Pass</v>
      </c>
    </row>
    <row r="294" spans="1:4">
      <c r="A294" t="s">
        <v>1815</v>
      </c>
      <c r="B294">
        <v>5</v>
      </c>
      <c r="C294" t="str">
        <f t="shared" si="4"/>
        <v>Fail</v>
      </c>
      <c r="D294" t="str" cm="1">
        <f t="array" ref="D294">_xlfn.IFS(B294&gt;=80,"A",B294&gt;=60,"B",B294&lt;60,"Pass",B294&lt;33,"Fail")</f>
        <v>Pass</v>
      </c>
    </row>
    <row r="295" spans="1:4">
      <c r="A295" t="s">
        <v>1816</v>
      </c>
      <c r="B295">
        <v>28</v>
      </c>
      <c r="C295" t="str">
        <f t="shared" si="4"/>
        <v>Fail</v>
      </c>
      <c r="D295" t="str" cm="1">
        <f t="array" ref="D295">_xlfn.IFS(B295&gt;=80,"A",B295&gt;=60,"B",B295&lt;60,"Pass",B295&lt;33,"Fail")</f>
        <v>Pass</v>
      </c>
    </row>
    <row r="296" spans="1:4">
      <c r="A296" t="s">
        <v>1817</v>
      </c>
      <c r="B296">
        <v>100</v>
      </c>
      <c r="C296" t="str">
        <f t="shared" si="4"/>
        <v>Pass</v>
      </c>
      <c r="D296" t="str" cm="1">
        <f t="array" ref="D296">_xlfn.IFS(B296&gt;=80,"A",B296&gt;=60,"B",B296&lt;60,"Pass",B296&lt;33,"Fail")</f>
        <v>A</v>
      </c>
    </row>
    <row r="297" spans="1:4">
      <c r="A297" t="s">
        <v>1818</v>
      </c>
      <c r="B297">
        <v>50</v>
      </c>
      <c r="C297" t="str">
        <f t="shared" si="4"/>
        <v>Pass</v>
      </c>
      <c r="D297" t="str" cm="1">
        <f t="array" ref="D297">_xlfn.IFS(B297&gt;=80,"A",B297&gt;=60,"B",B297&lt;60,"Pass",B297&lt;33,"Fail")</f>
        <v>Pass</v>
      </c>
    </row>
    <row r="298" spans="1:4">
      <c r="A298" t="s">
        <v>1819</v>
      </c>
      <c r="B298">
        <v>67</v>
      </c>
      <c r="C298" t="str">
        <f t="shared" si="4"/>
        <v>Pass</v>
      </c>
      <c r="D298" t="str" cm="1">
        <f t="array" ref="D298">_xlfn.IFS(B298&gt;=80,"A",B298&gt;=60,"B",B298&lt;60,"Pass",B298&lt;33,"Fail")</f>
        <v>B</v>
      </c>
    </row>
    <row r="299" spans="1:4">
      <c r="A299" t="s">
        <v>1820</v>
      </c>
      <c r="B299">
        <v>96</v>
      </c>
      <c r="C299" t="str">
        <f t="shared" si="4"/>
        <v>Pass</v>
      </c>
      <c r="D299" t="str" cm="1">
        <f t="array" ref="D299">_xlfn.IFS(B299&gt;=80,"A",B299&gt;=60,"B",B299&lt;60,"Pass",B299&lt;33,"Fail")</f>
        <v>A</v>
      </c>
    </row>
    <row r="300" spans="1:4">
      <c r="A300" t="s">
        <v>1821</v>
      </c>
      <c r="B300">
        <v>52</v>
      </c>
      <c r="C300" t="str">
        <f t="shared" si="4"/>
        <v>Pass</v>
      </c>
      <c r="D300" t="str" cm="1">
        <f t="array" ref="D300">_xlfn.IFS(B300&gt;=80,"A",B300&gt;=60,"B",B300&lt;60,"Pass",B300&lt;33,"Fail")</f>
        <v>Pass</v>
      </c>
    </row>
    <row r="301" spans="1:4">
      <c r="A301" t="s">
        <v>1822</v>
      </c>
      <c r="B301">
        <v>9</v>
      </c>
      <c r="C301" t="str">
        <f t="shared" si="4"/>
        <v>Fail</v>
      </c>
      <c r="D301" t="str" cm="1">
        <f t="array" ref="D301">_xlfn.IFS(B301&gt;=80,"A",B301&gt;=60,"B",B301&lt;60,"Pass",B301&lt;33,"Fail")</f>
        <v>Pass</v>
      </c>
    </row>
    <row r="302" spans="1:4">
      <c r="A302" t="s">
        <v>1823</v>
      </c>
      <c r="B302">
        <v>60</v>
      </c>
      <c r="C302" t="str">
        <f t="shared" si="4"/>
        <v>Pass</v>
      </c>
      <c r="D302" t="str" cm="1">
        <f t="array" ref="D302">_xlfn.IFS(B302&gt;=80,"A",B302&gt;=60,"B",B302&lt;60,"Pass",B302&lt;33,"Fail")</f>
        <v>B</v>
      </c>
    </row>
    <row r="303" spans="1:4">
      <c r="A303" t="s">
        <v>1824</v>
      </c>
      <c r="B303">
        <v>60</v>
      </c>
      <c r="C303" t="str">
        <f t="shared" si="4"/>
        <v>Pass</v>
      </c>
      <c r="D303" t="str" cm="1">
        <f t="array" ref="D303">_xlfn.IFS(B303&gt;=80,"A",B303&gt;=60,"B",B303&lt;60,"Pass",B303&lt;33,"Fail")</f>
        <v>B</v>
      </c>
    </row>
    <row r="304" spans="1:4">
      <c r="A304" t="s">
        <v>1825</v>
      </c>
      <c r="B304">
        <v>58</v>
      </c>
      <c r="C304" t="str">
        <f t="shared" si="4"/>
        <v>Pass</v>
      </c>
      <c r="D304" t="str" cm="1">
        <f t="array" ref="D304">_xlfn.IFS(B304&gt;=80,"A",B304&gt;=60,"B",B304&lt;60,"Pass",B304&lt;33,"Fail")</f>
        <v>Pass</v>
      </c>
    </row>
    <row r="305" spans="1:4">
      <c r="A305" t="s">
        <v>1826</v>
      </c>
      <c r="B305">
        <v>69</v>
      </c>
      <c r="C305" t="str">
        <f t="shared" si="4"/>
        <v>Pass</v>
      </c>
      <c r="D305" t="str" cm="1">
        <f t="array" ref="D305">_xlfn.IFS(B305&gt;=80,"A",B305&gt;=60,"B",B305&lt;60,"Pass",B305&lt;33,"Fail")</f>
        <v>B</v>
      </c>
    </row>
    <row r="306" spans="1:4">
      <c r="A306" t="s">
        <v>1827</v>
      </c>
      <c r="B306">
        <v>51</v>
      </c>
      <c r="C306" t="str">
        <f t="shared" si="4"/>
        <v>Pass</v>
      </c>
      <c r="D306" t="str" cm="1">
        <f t="array" ref="D306">_xlfn.IFS(B306&gt;=80,"A",B306&gt;=60,"B",B306&lt;60,"Pass",B306&lt;33,"Fail")</f>
        <v>Pass</v>
      </c>
    </row>
    <row r="307" spans="1:4">
      <c r="A307" t="s">
        <v>1828</v>
      </c>
      <c r="B307">
        <v>46</v>
      </c>
      <c r="C307" t="str">
        <f t="shared" si="4"/>
        <v>Pass</v>
      </c>
      <c r="D307" t="str" cm="1">
        <f t="array" ref="D307">_xlfn.IFS(B307&gt;=80,"A",B307&gt;=60,"B",B307&lt;60,"Pass",B307&lt;33,"Fail")</f>
        <v>Pass</v>
      </c>
    </row>
    <row r="308" spans="1:4">
      <c r="A308" t="s">
        <v>1829</v>
      </c>
      <c r="B308">
        <v>32</v>
      </c>
      <c r="C308" t="str">
        <f t="shared" si="4"/>
        <v>Fail</v>
      </c>
      <c r="D308" t="str" cm="1">
        <f t="array" ref="D308">_xlfn.IFS(B308&gt;=80,"A",B308&gt;=60,"B",B308&lt;60,"Pass",B308&lt;33,"Fail")</f>
        <v>Pass</v>
      </c>
    </row>
    <row r="309" spans="1:4">
      <c r="A309" t="s">
        <v>1830</v>
      </c>
      <c r="B309">
        <v>32</v>
      </c>
      <c r="C309" t="str">
        <f t="shared" si="4"/>
        <v>Fail</v>
      </c>
      <c r="D309" t="str" cm="1">
        <f t="array" ref="D309">_xlfn.IFS(B309&gt;=80,"A",B309&gt;=60,"B",B309&lt;60,"Pass",B309&lt;33,"Fail")</f>
        <v>Pass</v>
      </c>
    </row>
    <row r="310" spans="1:4">
      <c r="A310" t="s">
        <v>1831</v>
      </c>
      <c r="B310">
        <v>97</v>
      </c>
      <c r="C310" t="str">
        <f t="shared" si="4"/>
        <v>Pass</v>
      </c>
      <c r="D310" t="str" cm="1">
        <f t="array" ref="D310">_xlfn.IFS(B310&gt;=80,"A",B310&gt;=60,"B",B310&lt;60,"Pass",B310&lt;33,"Fail")</f>
        <v>A</v>
      </c>
    </row>
    <row r="311" spans="1:4">
      <c r="A311" t="s">
        <v>1832</v>
      </c>
      <c r="B311">
        <v>41</v>
      </c>
      <c r="C311" t="str">
        <f t="shared" si="4"/>
        <v>Pass</v>
      </c>
      <c r="D311" t="str" cm="1">
        <f t="array" ref="D311">_xlfn.IFS(B311&gt;=80,"A",B311&gt;=60,"B",B311&lt;60,"Pass",B311&lt;33,"Fail")</f>
        <v>Pass</v>
      </c>
    </row>
    <row r="312" spans="1:4">
      <c r="A312" t="s">
        <v>1833</v>
      </c>
      <c r="B312">
        <v>64</v>
      </c>
      <c r="C312" t="str">
        <f t="shared" si="4"/>
        <v>Pass</v>
      </c>
      <c r="D312" t="str" cm="1">
        <f t="array" ref="D312">_xlfn.IFS(B312&gt;=80,"A",B312&gt;=60,"B",B312&lt;60,"Pass",B312&lt;33,"Fail")</f>
        <v>B</v>
      </c>
    </row>
    <row r="313" spans="1:4">
      <c r="A313" t="s">
        <v>1834</v>
      </c>
      <c r="B313">
        <v>71</v>
      </c>
      <c r="C313" t="str">
        <f t="shared" si="4"/>
        <v>Pass</v>
      </c>
      <c r="D313" t="str" cm="1">
        <f t="array" ref="D313">_xlfn.IFS(B313&gt;=80,"A",B313&gt;=60,"B",B313&lt;60,"Pass",B313&lt;33,"Fail")</f>
        <v>B</v>
      </c>
    </row>
    <row r="314" spans="1:4">
      <c r="A314" t="s">
        <v>1835</v>
      </c>
      <c r="B314">
        <v>61</v>
      </c>
      <c r="C314" t="str">
        <f t="shared" si="4"/>
        <v>Pass</v>
      </c>
      <c r="D314" t="str" cm="1">
        <f t="array" ref="D314">_xlfn.IFS(B314&gt;=80,"A",B314&gt;=60,"B",B314&lt;60,"Pass",B314&lt;33,"Fail")</f>
        <v>B</v>
      </c>
    </row>
    <row r="315" spans="1:4">
      <c r="A315" t="s">
        <v>1836</v>
      </c>
      <c r="B315">
        <v>92</v>
      </c>
      <c r="C315" t="str">
        <f t="shared" si="4"/>
        <v>Pass</v>
      </c>
      <c r="D315" t="str" cm="1">
        <f t="array" ref="D315">_xlfn.IFS(B315&gt;=80,"A",B315&gt;=60,"B",B315&lt;60,"Pass",B315&lt;33,"Fail")</f>
        <v>A</v>
      </c>
    </row>
    <row r="316" spans="1:4">
      <c r="A316" t="s">
        <v>1837</v>
      </c>
      <c r="B316">
        <v>37</v>
      </c>
      <c r="C316" t="str">
        <f t="shared" si="4"/>
        <v>Pass</v>
      </c>
      <c r="D316" t="str" cm="1">
        <f t="array" ref="D316">_xlfn.IFS(B316&gt;=80,"A",B316&gt;=60,"B",B316&lt;60,"Pass",B316&lt;33,"Fail")</f>
        <v>Pass</v>
      </c>
    </row>
    <row r="317" spans="1:4">
      <c r="A317" t="s">
        <v>1838</v>
      </c>
      <c r="B317">
        <v>96</v>
      </c>
      <c r="C317" t="str">
        <f t="shared" si="4"/>
        <v>Pass</v>
      </c>
      <c r="D317" t="str" cm="1">
        <f t="array" ref="D317">_xlfn.IFS(B317&gt;=80,"A",B317&gt;=60,"B",B317&lt;60,"Pass",B317&lt;33,"Fail")</f>
        <v>A</v>
      </c>
    </row>
    <row r="318" spans="1:4">
      <c r="A318" t="s">
        <v>1839</v>
      </c>
      <c r="B318">
        <v>10</v>
      </c>
      <c r="C318" t="str">
        <f t="shared" si="4"/>
        <v>Fail</v>
      </c>
      <c r="D318" t="str" cm="1">
        <f t="array" ref="D318">_xlfn.IFS(B318&gt;=80,"A",B318&gt;=60,"B",B318&lt;60,"Pass",B318&lt;33,"Fail")</f>
        <v>Pass</v>
      </c>
    </row>
    <row r="319" spans="1:4">
      <c r="A319" t="s">
        <v>1840</v>
      </c>
      <c r="B319">
        <v>44</v>
      </c>
      <c r="C319" t="str">
        <f t="shared" si="4"/>
        <v>Pass</v>
      </c>
      <c r="D319" t="str" cm="1">
        <f t="array" ref="D319">_xlfn.IFS(B319&gt;=80,"A",B319&gt;=60,"B",B319&lt;60,"Pass",B319&lt;33,"Fail")</f>
        <v>Pass</v>
      </c>
    </row>
    <row r="320" spans="1:4">
      <c r="A320" t="s">
        <v>1841</v>
      </c>
      <c r="B320">
        <v>9</v>
      </c>
      <c r="C320" t="str">
        <f t="shared" si="4"/>
        <v>Fail</v>
      </c>
      <c r="D320" t="str" cm="1">
        <f t="array" ref="D320">_xlfn.IFS(B320&gt;=80,"A",B320&gt;=60,"B",B320&lt;60,"Pass",B320&lt;33,"Fail")</f>
        <v>Pass</v>
      </c>
    </row>
    <row r="321" spans="1:4">
      <c r="A321" t="s">
        <v>1842</v>
      </c>
      <c r="B321">
        <v>41</v>
      </c>
      <c r="C321" t="str">
        <f t="shared" si="4"/>
        <v>Pass</v>
      </c>
      <c r="D321" t="str" cm="1">
        <f t="array" ref="D321">_xlfn.IFS(B321&gt;=80,"A",B321&gt;=60,"B",B321&lt;60,"Pass",B321&lt;33,"Fail")</f>
        <v>Pass</v>
      </c>
    </row>
    <row r="322" spans="1:4">
      <c r="A322" t="s">
        <v>1843</v>
      </c>
      <c r="B322">
        <v>39</v>
      </c>
      <c r="C322" t="str">
        <f t="shared" si="4"/>
        <v>Pass</v>
      </c>
      <c r="D322" t="str" cm="1">
        <f t="array" ref="D322">_xlfn.IFS(B322&gt;=80,"A",B322&gt;=60,"B",B322&lt;60,"Pass",B322&lt;33,"Fail")</f>
        <v>Pass</v>
      </c>
    </row>
    <row r="323" spans="1:4">
      <c r="A323" t="s">
        <v>1844</v>
      </c>
      <c r="B323">
        <v>9</v>
      </c>
      <c r="C323" t="str">
        <f t="shared" ref="C323:C386" si="5">IF(B323&gt;=33,"Pass","Fail")</f>
        <v>Fail</v>
      </c>
      <c r="D323" t="str" cm="1">
        <f t="array" ref="D323">_xlfn.IFS(B323&gt;=80,"A",B323&gt;=60,"B",B323&lt;60,"Pass",B323&lt;33,"Fail")</f>
        <v>Pass</v>
      </c>
    </row>
    <row r="324" spans="1:4">
      <c r="A324" t="s">
        <v>1845</v>
      </c>
      <c r="B324">
        <v>58</v>
      </c>
      <c r="C324" t="str">
        <f t="shared" si="5"/>
        <v>Pass</v>
      </c>
      <c r="D324" t="str" cm="1">
        <f t="array" ref="D324">_xlfn.IFS(B324&gt;=80,"A",B324&gt;=60,"B",B324&lt;60,"Pass",B324&lt;33,"Fail")</f>
        <v>Pass</v>
      </c>
    </row>
    <row r="325" spans="1:4">
      <c r="A325" t="s">
        <v>1846</v>
      </c>
      <c r="B325">
        <v>29</v>
      </c>
      <c r="C325" t="str">
        <f t="shared" si="5"/>
        <v>Fail</v>
      </c>
      <c r="D325" t="str" cm="1">
        <f t="array" ref="D325">_xlfn.IFS(B325&gt;=80,"A",B325&gt;=60,"B",B325&lt;60,"Pass",B325&lt;33,"Fail")</f>
        <v>Pass</v>
      </c>
    </row>
    <row r="326" spans="1:4">
      <c r="A326" t="s">
        <v>1847</v>
      </c>
      <c r="B326">
        <v>23</v>
      </c>
      <c r="C326" t="str">
        <f t="shared" si="5"/>
        <v>Fail</v>
      </c>
      <c r="D326" t="str" cm="1">
        <f t="array" ref="D326">_xlfn.IFS(B326&gt;=80,"A",B326&gt;=60,"B",B326&lt;60,"Pass",B326&lt;33,"Fail")</f>
        <v>Pass</v>
      </c>
    </row>
    <row r="327" spans="1:4">
      <c r="A327" t="s">
        <v>1848</v>
      </c>
      <c r="B327">
        <v>4</v>
      </c>
      <c r="C327" t="str">
        <f t="shared" si="5"/>
        <v>Fail</v>
      </c>
      <c r="D327" t="str" cm="1">
        <f t="array" ref="D327">_xlfn.IFS(B327&gt;=80,"A",B327&gt;=60,"B",B327&lt;60,"Pass",B327&lt;33,"Fail")</f>
        <v>Pass</v>
      </c>
    </row>
    <row r="328" spans="1:4">
      <c r="A328" t="s">
        <v>1849</v>
      </c>
      <c r="B328">
        <v>97</v>
      </c>
      <c r="C328" t="str">
        <f t="shared" si="5"/>
        <v>Pass</v>
      </c>
      <c r="D328" t="str" cm="1">
        <f t="array" ref="D328">_xlfn.IFS(B328&gt;=80,"A",B328&gt;=60,"B",B328&lt;60,"Pass",B328&lt;33,"Fail")</f>
        <v>A</v>
      </c>
    </row>
    <row r="329" spans="1:4">
      <c r="A329" t="s">
        <v>1850</v>
      </c>
      <c r="B329">
        <v>88</v>
      </c>
      <c r="C329" t="str">
        <f t="shared" si="5"/>
        <v>Pass</v>
      </c>
      <c r="D329" t="str" cm="1">
        <f t="array" ref="D329">_xlfn.IFS(B329&gt;=80,"A",B329&gt;=60,"B",B329&lt;60,"Pass",B329&lt;33,"Fail")</f>
        <v>A</v>
      </c>
    </row>
    <row r="330" spans="1:4">
      <c r="A330" t="s">
        <v>1851</v>
      </c>
      <c r="B330">
        <v>67</v>
      </c>
      <c r="C330" t="str">
        <f t="shared" si="5"/>
        <v>Pass</v>
      </c>
      <c r="D330" t="str" cm="1">
        <f t="array" ref="D330">_xlfn.IFS(B330&gt;=80,"A",B330&gt;=60,"B",B330&lt;60,"Pass",B330&lt;33,"Fail")</f>
        <v>B</v>
      </c>
    </row>
    <row r="331" spans="1:4">
      <c r="A331" t="s">
        <v>1852</v>
      </c>
      <c r="B331">
        <v>76</v>
      </c>
      <c r="C331" t="str">
        <f t="shared" si="5"/>
        <v>Pass</v>
      </c>
      <c r="D331" t="str" cm="1">
        <f t="array" ref="D331">_xlfn.IFS(B331&gt;=80,"A",B331&gt;=60,"B",B331&lt;60,"Pass",B331&lt;33,"Fail")</f>
        <v>B</v>
      </c>
    </row>
    <row r="332" spans="1:4">
      <c r="A332" t="s">
        <v>1853</v>
      </c>
      <c r="B332">
        <v>99</v>
      </c>
      <c r="C332" t="str">
        <f t="shared" si="5"/>
        <v>Pass</v>
      </c>
      <c r="D332" t="str" cm="1">
        <f t="array" ref="D332">_xlfn.IFS(B332&gt;=80,"A",B332&gt;=60,"B",B332&lt;60,"Pass",B332&lt;33,"Fail")</f>
        <v>A</v>
      </c>
    </row>
    <row r="333" spans="1:4">
      <c r="A333" t="s">
        <v>1854</v>
      </c>
      <c r="B333">
        <v>45</v>
      </c>
      <c r="C333" t="str">
        <f t="shared" si="5"/>
        <v>Pass</v>
      </c>
      <c r="D333" t="str" cm="1">
        <f t="array" ref="D333">_xlfn.IFS(B333&gt;=80,"A",B333&gt;=60,"B",B333&lt;60,"Pass",B333&lt;33,"Fail")</f>
        <v>Pass</v>
      </c>
    </row>
    <row r="334" spans="1:4">
      <c r="A334" t="s">
        <v>1855</v>
      </c>
      <c r="B334">
        <v>24</v>
      </c>
      <c r="C334" t="str">
        <f t="shared" si="5"/>
        <v>Fail</v>
      </c>
      <c r="D334" t="str" cm="1">
        <f t="array" ref="D334">_xlfn.IFS(B334&gt;=80,"A",B334&gt;=60,"B",B334&lt;60,"Pass",B334&lt;33,"Fail")</f>
        <v>Pass</v>
      </c>
    </row>
    <row r="335" spans="1:4">
      <c r="A335" t="s">
        <v>1856</v>
      </c>
      <c r="B335">
        <v>33</v>
      </c>
      <c r="C335" t="str">
        <f t="shared" si="5"/>
        <v>Pass</v>
      </c>
      <c r="D335" t="str" cm="1">
        <f t="array" ref="D335">_xlfn.IFS(B335&gt;=80,"A",B335&gt;=60,"B",B335&lt;60,"Pass",B335&lt;33,"Fail")</f>
        <v>Pass</v>
      </c>
    </row>
    <row r="336" spans="1:4">
      <c r="A336" t="s">
        <v>1857</v>
      </c>
      <c r="B336">
        <v>51</v>
      </c>
      <c r="C336" t="str">
        <f t="shared" si="5"/>
        <v>Pass</v>
      </c>
      <c r="D336" t="str" cm="1">
        <f t="array" ref="D336">_xlfn.IFS(B336&gt;=80,"A",B336&gt;=60,"B",B336&lt;60,"Pass",B336&lt;33,"Fail")</f>
        <v>Pass</v>
      </c>
    </row>
    <row r="337" spans="1:4">
      <c r="A337" t="s">
        <v>1858</v>
      </c>
      <c r="B337">
        <v>90</v>
      </c>
      <c r="C337" t="str">
        <f t="shared" si="5"/>
        <v>Pass</v>
      </c>
      <c r="D337" t="str" cm="1">
        <f t="array" ref="D337">_xlfn.IFS(B337&gt;=80,"A",B337&gt;=60,"B",B337&lt;60,"Pass",B337&lt;33,"Fail")</f>
        <v>A</v>
      </c>
    </row>
    <row r="338" spans="1:4">
      <c r="A338" t="s">
        <v>1859</v>
      </c>
      <c r="B338">
        <v>65</v>
      </c>
      <c r="C338" t="str">
        <f t="shared" si="5"/>
        <v>Pass</v>
      </c>
      <c r="D338" t="str" cm="1">
        <f t="array" ref="D338">_xlfn.IFS(B338&gt;=80,"A",B338&gt;=60,"B",B338&lt;60,"Pass",B338&lt;33,"Fail")</f>
        <v>B</v>
      </c>
    </row>
    <row r="339" spans="1:4">
      <c r="A339" t="s">
        <v>1860</v>
      </c>
      <c r="B339">
        <v>35</v>
      </c>
      <c r="C339" t="str">
        <f t="shared" si="5"/>
        <v>Pass</v>
      </c>
      <c r="D339" t="str" cm="1">
        <f t="array" ref="D339">_xlfn.IFS(B339&gt;=80,"A",B339&gt;=60,"B",B339&lt;60,"Pass",B339&lt;33,"Fail")</f>
        <v>Pass</v>
      </c>
    </row>
    <row r="340" spans="1:4">
      <c r="A340" t="s">
        <v>1861</v>
      </c>
      <c r="B340">
        <v>22</v>
      </c>
      <c r="C340" t="str">
        <f t="shared" si="5"/>
        <v>Fail</v>
      </c>
      <c r="D340" t="str" cm="1">
        <f t="array" ref="D340">_xlfn.IFS(B340&gt;=80,"A",B340&gt;=60,"B",B340&lt;60,"Pass",B340&lt;33,"Fail")</f>
        <v>Pass</v>
      </c>
    </row>
    <row r="341" spans="1:4">
      <c r="A341" t="s">
        <v>1862</v>
      </c>
      <c r="B341">
        <v>47</v>
      </c>
      <c r="C341" t="str">
        <f t="shared" si="5"/>
        <v>Pass</v>
      </c>
      <c r="D341" t="str" cm="1">
        <f t="array" ref="D341">_xlfn.IFS(B341&gt;=80,"A",B341&gt;=60,"B",B341&lt;60,"Pass",B341&lt;33,"Fail")</f>
        <v>Pass</v>
      </c>
    </row>
    <row r="342" spans="1:4">
      <c r="A342" t="s">
        <v>1863</v>
      </c>
      <c r="B342">
        <v>70</v>
      </c>
      <c r="C342" t="str">
        <f t="shared" si="5"/>
        <v>Pass</v>
      </c>
      <c r="D342" t="str" cm="1">
        <f t="array" ref="D342">_xlfn.IFS(B342&gt;=80,"A",B342&gt;=60,"B",B342&lt;60,"Pass",B342&lt;33,"Fail")</f>
        <v>B</v>
      </c>
    </row>
    <row r="343" spans="1:4">
      <c r="A343" t="s">
        <v>1864</v>
      </c>
      <c r="B343">
        <v>85</v>
      </c>
      <c r="C343" t="str">
        <f t="shared" si="5"/>
        <v>Pass</v>
      </c>
      <c r="D343" t="str" cm="1">
        <f t="array" ref="D343">_xlfn.IFS(B343&gt;=80,"A",B343&gt;=60,"B",B343&lt;60,"Pass",B343&lt;33,"Fail")</f>
        <v>A</v>
      </c>
    </row>
    <row r="344" spans="1:4">
      <c r="A344" t="s">
        <v>1865</v>
      </c>
      <c r="B344">
        <v>8</v>
      </c>
      <c r="C344" t="str">
        <f t="shared" si="5"/>
        <v>Fail</v>
      </c>
      <c r="D344" t="str" cm="1">
        <f t="array" ref="D344">_xlfn.IFS(B344&gt;=80,"A",B344&gt;=60,"B",B344&lt;60,"Pass",B344&lt;33,"Fail")</f>
        <v>Pass</v>
      </c>
    </row>
    <row r="345" spans="1:4">
      <c r="A345" t="s">
        <v>1866</v>
      </c>
      <c r="B345">
        <v>76</v>
      </c>
      <c r="C345" t="str">
        <f t="shared" si="5"/>
        <v>Pass</v>
      </c>
      <c r="D345" t="str" cm="1">
        <f t="array" ref="D345">_xlfn.IFS(B345&gt;=80,"A",B345&gt;=60,"B",B345&lt;60,"Pass",B345&lt;33,"Fail")</f>
        <v>B</v>
      </c>
    </row>
    <row r="346" spans="1:4">
      <c r="A346" t="s">
        <v>1867</v>
      </c>
      <c r="B346">
        <v>26</v>
      </c>
      <c r="C346" t="str">
        <f t="shared" si="5"/>
        <v>Fail</v>
      </c>
      <c r="D346" t="str" cm="1">
        <f t="array" ref="D346">_xlfn.IFS(B346&gt;=80,"A",B346&gt;=60,"B",B346&lt;60,"Pass",B346&lt;33,"Fail")</f>
        <v>Pass</v>
      </c>
    </row>
    <row r="347" spans="1:4">
      <c r="A347" t="s">
        <v>1868</v>
      </c>
      <c r="B347">
        <v>47</v>
      </c>
      <c r="C347" t="str">
        <f t="shared" si="5"/>
        <v>Pass</v>
      </c>
      <c r="D347" t="str" cm="1">
        <f t="array" ref="D347">_xlfn.IFS(B347&gt;=80,"A",B347&gt;=60,"B",B347&lt;60,"Pass",B347&lt;33,"Fail")</f>
        <v>Pass</v>
      </c>
    </row>
    <row r="348" spans="1:4">
      <c r="A348" t="s">
        <v>1869</v>
      </c>
      <c r="B348">
        <v>54</v>
      </c>
      <c r="C348" t="str">
        <f t="shared" si="5"/>
        <v>Pass</v>
      </c>
      <c r="D348" t="str" cm="1">
        <f t="array" ref="D348">_xlfn.IFS(B348&gt;=80,"A",B348&gt;=60,"B",B348&lt;60,"Pass",B348&lt;33,"Fail")</f>
        <v>Pass</v>
      </c>
    </row>
    <row r="349" spans="1:4">
      <c r="A349" t="s">
        <v>1870</v>
      </c>
      <c r="B349">
        <v>64</v>
      </c>
      <c r="C349" t="str">
        <f t="shared" si="5"/>
        <v>Pass</v>
      </c>
      <c r="D349" t="str" cm="1">
        <f t="array" ref="D349">_xlfn.IFS(B349&gt;=80,"A",B349&gt;=60,"B",B349&lt;60,"Pass",B349&lt;33,"Fail")</f>
        <v>B</v>
      </c>
    </row>
    <row r="350" spans="1:4">
      <c r="A350" t="s">
        <v>1871</v>
      </c>
      <c r="B350">
        <v>2</v>
      </c>
      <c r="C350" t="str">
        <f t="shared" si="5"/>
        <v>Fail</v>
      </c>
      <c r="D350" t="str" cm="1">
        <f t="array" ref="D350">_xlfn.IFS(B350&gt;=80,"A",B350&gt;=60,"B",B350&lt;60,"Pass",B350&lt;33,"Fail")</f>
        <v>Pass</v>
      </c>
    </row>
    <row r="351" spans="1:4">
      <c r="A351" t="s">
        <v>1872</v>
      </c>
      <c r="B351">
        <v>56</v>
      </c>
      <c r="C351" t="str">
        <f t="shared" si="5"/>
        <v>Pass</v>
      </c>
      <c r="D351" t="str" cm="1">
        <f t="array" ref="D351">_xlfn.IFS(B351&gt;=80,"A",B351&gt;=60,"B",B351&lt;60,"Pass",B351&lt;33,"Fail")</f>
        <v>Pass</v>
      </c>
    </row>
    <row r="352" spans="1:4">
      <c r="A352" t="s">
        <v>1873</v>
      </c>
      <c r="B352">
        <v>37</v>
      </c>
      <c r="C352" t="str">
        <f t="shared" si="5"/>
        <v>Pass</v>
      </c>
      <c r="D352" t="str" cm="1">
        <f t="array" ref="D352">_xlfn.IFS(B352&gt;=80,"A",B352&gt;=60,"B",B352&lt;60,"Pass",B352&lt;33,"Fail")</f>
        <v>Pass</v>
      </c>
    </row>
    <row r="353" spans="1:4">
      <c r="A353" t="s">
        <v>1874</v>
      </c>
      <c r="B353">
        <v>23</v>
      </c>
      <c r="C353" t="str">
        <f t="shared" si="5"/>
        <v>Fail</v>
      </c>
      <c r="D353" t="str" cm="1">
        <f t="array" ref="D353">_xlfn.IFS(B353&gt;=80,"A",B353&gt;=60,"B",B353&lt;60,"Pass",B353&lt;33,"Fail")</f>
        <v>Pass</v>
      </c>
    </row>
    <row r="354" spans="1:4">
      <c r="A354" t="s">
        <v>1875</v>
      </c>
      <c r="B354">
        <v>63</v>
      </c>
      <c r="C354" t="str">
        <f t="shared" si="5"/>
        <v>Pass</v>
      </c>
      <c r="D354" t="str" cm="1">
        <f t="array" ref="D354">_xlfn.IFS(B354&gt;=80,"A",B354&gt;=60,"B",B354&lt;60,"Pass",B354&lt;33,"Fail")</f>
        <v>B</v>
      </c>
    </row>
    <row r="355" spans="1:4">
      <c r="A355" t="s">
        <v>1876</v>
      </c>
      <c r="B355">
        <v>5</v>
      </c>
      <c r="C355" t="str">
        <f t="shared" si="5"/>
        <v>Fail</v>
      </c>
      <c r="D355" t="str" cm="1">
        <f t="array" ref="D355">_xlfn.IFS(B355&gt;=80,"A",B355&gt;=60,"B",B355&lt;60,"Pass",B355&lt;33,"Fail")</f>
        <v>Pass</v>
      </c>
    </row>
    <row r="356" spans="1:4">
      <c r="A356" t="s">
        <v>1877</v>
      </c>
      <c r="B356">
        <v>46</v>
      </c>
      <c r="C356" t="str">
        <f t="shared" si="5"/>
        <v>Pass</v>
      </c>
      <c r="D356" t="str" cm="1">
        <f t="array" ref="D356">_xlfn.IFS(B356&gt;=80,"A",B356&gt;=60,"B",B356&lt;60,"Pass",B356&lt;33,"Fail")</f>
        <v>Pass</v>
      </c>
    </row>
    <row r="357" spans="1:4">
      <c r="A357" t="s">
        <v>1878</v>
      </c>
      <c r="B357">
        <v>85</v>
      </c>
      <c r="C357" t="str">
        <f t="shared" si="5"/>
        <v>Pass</v>
      </c>
      <c r="D357" t="str" cm="1">
        <f t="array" ref="D357">_xlfn.IFS(B357&gt;=80,"A",B357&gt;=60,"B",B357&lt;60,"Pass",B357&lt;33,"Fail")</f>
        <v>A</v>
      </c>
    </row>
    <row r="358" spans="1:4">
      <c r="A358" t="s">
        <v>1879</v>
      </c>
      <c r="B358">
        <v>2</v>
      </c>
      <c r="C358" t="str">
        <f t="shared" si="5"/>
        <v>Fail</v>
      </c>
      <c r="D358" t="str" cm="1">
        <f t="array" ref="D358">_xlfn.IFS(B358&gt;=80,"A",B358&gt;=60,"B",B358&lt;60,"Pass",B358&lt;33,"Fail")</f>
        <v>Pass</v>
      </c>
    </row>
    <row r="359" spans="1:4">
      <c r="A359" t="s">
        <v>1880</v>
      </c>
      <c r="B359">
        <v>19</v>
      </c>
      <c r="C359" t="str">
        <f t="shared" si="5"/>
        <v>Fail</v>
      </c>
      <c r="D359" t="str" cm="1">
        <f t="array" ref="D359">_xlfn.IFS(B359&gt;=80,"A",B359&gt;=60,"B",B359&lt;60,"Pass",B359&lt;33,"Fail")</f>
        <v>Pass</v>
      </c>
    </row>
    <row r="360" spans="1:4">
      <c r="A360" t="s">
        <v>1881</v>
      </c>
      <c r="B360">
        <v>1</v>
      </c>
      <c r="C360" t="str">
        <f t="shared" si="5"/>
        <v>Fail</v>
      </c>
      <c r="D360" t="str" cm="1">
        <f t="array" ref="D360">_xlfn.IFS(B360&gt;=80,"A",B360&gt;=60,"B",B360&lt;60,"Pass",B360&lt;33,"Fail")</f>
        <v>Pass</v>
      </c>
    </row>
    <row r="361" spans="1:4">
      <c r="A361" t="s">
        <v>1882</v>
      </c>
      <c r="B361">
        <v>42</v>
      </c>
      <c r="C361" t="str">
        <f t="shared" si="5"/>
        <v>Pass</v>
      </c>
      <c r="D361" t="str" cm="1">
        <f t="array" ref="D361">_xlfn.IFS(B361&gt;=80,"A",B361&gt;=60,"B",B361&lt;60,"Pass",B361&lt;33,"Fail")</f>
        <v>Pass</v>
      </c>
    </row>
    <row r="362" spans="1:4">
      <c r="A362" t="s">
        <v>1883</v>
      </c>
      <c r="B362">
        <v>37</v>
      </c>
      <c r="C362" t="str">
        <f t="shared" si="5"/>
        <v>Pass</v>
      </c>
      <c r="D362" t="str" cm="1">
        <f t="array" ref="D362">_xlfn.IFS(B362&gt;=80,"A",B362&gt;=60,"B",B362&lt;60,"Pass",B362&lt;33,"Fail")</f>
        <v>Pass</v>
      </c>
    </row>
    <row r="363" spans="1:4">
      <c r="A363" t="s">
        <v>1884</v>
      </c>
      <c r="B363">
        <v>68</v>
      </c>
      <c r="C363" t="str">
        <f t="shared" si="5"/>
        <v>Pass</v>
      </c>
      <c r="D363" t="str" cm="1">
        <f t="array" ref="D363">_xlfn.IFS(B363&gt;=80,"A",B363&gt;=60,"B",B363&lt;60,"Pass",B363&lt;33,"Fail")</f>
        <v>B</v>
      </c>
    </row>
    <row r="364" spans="1:4">
      <c r="A364" t="s">
        <v>1885</v>
      </c>
      <c r="B364">
        <v>25</v>
      </c>
      <c r="C364" t="str">
        <f t="shared" si="5"/>
        <v>Fail</v>
      </c>
      <c r="D364" t="str" cm="1">
        <f t="array" ref="D364">_xlfn.IFS(B364&gt;=80,"A",B364&gt;=60,"B",B364&lt;60,"Pass",B364&lt;33,"Fail")</f>
        <v>Pass</v>
      </c>
    </row>
    <row r="365" spans="1:4">
      <c r="A365" t="s">
        <v>1886</v>
      </c>
      <c r="B365">
        <v>68</v>
      </c>
      <c r="C365" t="str">
        <f t="shared" si="5"/>
        <v>Pass</v>
      </c>
      <c r="D365" t="str" cm="1">
        <f t="array" ref="D365">_xlfn.IFS(B365&gt;=80,"A",B365&gt;=60,"B",B365&lt;60,"Pass",B365&lt;33,"Fail")</f>
        <v>B</v>
      </c>
    </row>
    <row r="366" spans="1:4">
      <c r="A366" t="s">
        <v>1887</v>
      </c>
      <c r="B366">
        <v>5</v>
      </c>
      <c r="C366" t="str">
        <f t="shared" si="5"/>
        <v>Fail</v>
      </c>
      <c r="D366" t="str" cm="1">
        <f t="array" ref="D366">_xlfn.IFS(B366&gt;=80,"A",B366&gt;=60,"B",B366&lt;60,"Pass",B366&lt;33,"Fail")</f>
        <v>Pass</v>
      </c>
    </row>
    <row r="367" spans="1:4">
      <c r="A367" t="s">
        <v>1888</v>
      </c>
      <c r="B367">
        <v>88</v>
      </c>
      <c r="C367" t="str">
        <f t="shared" si="5"/>
        <v>Pass</v>
      </c>
      <c r="D367" t="str" cm="1">
        <f t="array" ref="D367">_xlfn.IFS(B367&gt;=80,"A",B367&gt;=60,"B",B367&lt;60,"Pass",B367&lt;33,"Fail")</f>
        <v>A</v>
      </c>
    </row>
    <row r="368" spans="1:4">
      <c r="A368" t="s">
        <v>1889</v>
      </c>
      <c r="B368">
        <v>57</v>
      </c>
      <c r="C368" t="str">
        <f t="shared" si="5"/>
        <v>Pass</v>
      </c>
      <c r="D368" t="str" cm="1">
        <f t="array" ref="D368">_xlfn.IFS(B368&gt;=80,"A",B368&gt;=60,"B",B368&lt;60,"Pass",B368&lt;33,"Fail")</f>
        <v>Pass</v>
      </c>
    </row>
    <row r="369" spans="1:4">
      <c r="A369" t="s">
        <v>1890</v>
      </c>
      <c r="B369">
        <v>66</v>
      </c>
      <c r="C369" t="str">
        <f t="shared" si="5"/>
        <v>Pass</v>
      </c>
      <c r="D369" t="str" cm="1">
        <f t="array" ref="D369">_xlfn.IFS(B369&gt;=80,"A",B369&gt;=60,"B",B369&lt;60,"Pass",B369&lt;33,"Fail")</f>
        <v>B</v>
      </c>
    </row>
    <row r="370" spans="1:4">
      <c r="A370" t="s">
        <v>1891</v>
      </c>
      <c r="B370">
        <v>11</v>
      </c>
      <c r="C370" t="str">
        <f t="shared" si="5"/>
        <v>Fail</v>
      </c>
      <c r="D370" t="str" cm="1">
        <f t="array" ref="D370">_xlfn.IFS(B370&gt;=80,"A",B370&gt;=60,"B",B370&lt;60,"Pass",B370&lt;33,"Fail")</f>
        <v>Pass</v>
      </c>
    </row>
    <row r="371" spans="1:4">
      <c r="A371" t="s">
        <v>1892</v>
      </c>
      <c r="B371">
        <v>83</v>
      </c>
      <c r="C371" t="str">
        <f t="shared" si="5"/>
        <v>Pass</v>
      </c>
      <c r="D371" t="str" cm="1">
        <f t="array" ref="D371">_xlfn.IFS(B371&gt;=80,"A",B371&gt;=60,"B",B371&lt;60,"Pass",B371&lt;33,"Fail")</f>
        <v>A</v>
      </c>
    </row>
    <row r="372" spans="1:4">
      <c r="A372" t="s">
        <v>1893</v>
      </c>
      <c r="B372">
        <v>28</v>
      </c>
      <c r="C372" t="str">
        <f t="shared" si="5"/>
        <v>Fail</v>
      </c>
      <c r="D372" t="str" cm="1">
        <f t="array" ref="D372">_xlfn.IFS(B372&gt;=80,"A",B372&gt;=60,"B",B372&lt;60,"Pass",B372&lt;33,"Fail")</f>
        <v>Pass</v>
      </c>
    </row>
    <row r="373" spans="1:4">
      <c r="A373" t="s">
        <v>1894</v>
      </c>
      <c r="B373">
        <v>6</v>
      </c>
      <c r="C373" t="str">
        <f t="shared" si="5"/>
        <v>Fail</v>
      </c>
      <c r="D373" t="str" cm="1">
        <f t="array" ref="D373">_xlfn.IFS(B373&gt;=80,"A",B373&gt;=60,"B",B373&lt;60,"Pass",B373&lt;33,"Fail")</f>
        <v>Pass</v>
      </c>
    </row>
    <row r="374" spans="1:4">
      <c r="A374" t="s">
        <v>1895</v>
      </c>
      <c r="B374">
        <v>45</v>
      </c>
      <c r="C374" t="str">
        <f t="shared" si="5"/>
        <v>Pass</v>
      </c>
      <c r="D374" t="str" cm="1">
        <f t="array" ref="D374">_xlfn.IFS(B374&gt;=80,"A",B374&gt;=60,"B",B374&lt;60,"Pass",B374&lt;33,"Fail")</f>
        <v>Pass</v>
      </c>
    </row>
    <row r="375" spans="1:4">
      <c r="A375" t="s">
        <v>1896</v>
      </c>
      <c r="B375">
        <v>4</v>
      </c>
      <c r="C375" t="str">
        <f t="shared" si="5"/>
        <v>Fail</v>
      </c>
      <c r="D375" t="str" cm="1">
        <f t="array" ref="D375">_xlfn.IFS(B375&gt;=80,"A",B375&gt;=60,"B",B375&lt;60,"Pass",B375&lt;33,"Fail")</f>
        <v>Pass</v>
      </c>
    </row>
    <row r="376" spans="1:4">
      <c r="A376" t="s">
        <v>1897</v>
      </c>
      <c r="B376">
        <v>90</v>
      </c>
      <c r="C376" t="str">
        <f t="shared" si="5"/>
        <v>Pass</v>
      </c>
      <c r="D376" t="str" cm="1">
        <f t="array" ref="D376">_xlfn.IFS(B376&gt;=80,"A",B376&gt;=60,"B",B376&lt;60,"Pass",B376&lt;33,"Fail")</f>
        <v>A</v>
      </c>
    </row>
    <row r="377" spans="1:4">
      <c r="A377" t="s">
        <v>1898</v>
      </c>
      <c r="B377">
        <v>76</v>
      </c>
      <c r="C377" t="str">
        <f t="shared" si="5"/>
        <v>Pass</v>
      </c>
      <c r="D377" t="str" cm="1">
        <f t="array" ref="D377">_xlfn.IFS(B377&gt;=80,"A",B377&gt;=60,"B",B377&lt;60,"Pass",B377&lt;33,"Fail")</f>
        <v>B</v>
      </c>
    </row>
    <row r="378" spans="1:4">
      <c r="A378" t="s">
        <v>1899</v>
      </c>
      <c r="B378">
        <v>26</v>
      </c>
      <c r="C378" t="str">
        <f t="shared" si="5"/>
        <v>Fail</v>
      </c>
      <c r="D378" t="str" cm="1">
        <f t="array" ref="D378">_xlfn.IFS(B378&gt;=80,"A",B378&gt;=60,"B",B378&lt;60,"Pass",B378&lt;33,"Fail")</f>
        <v>Pass</v>
      </c>
    </row>
    <row r="379" spans="1:4">
      <c r="A379" t="s">
        <v>1900</v>
      </c>
      <c r="B379">
        <v>60</v>
      </c>
      <c r="C379" t="str">
        <f t="shared" si="5"/>
        <v>Pass</v>
      </c>
      <c r="D379" t="str" cm="1">
        <f t="array" ref="D379">_xlfn.IFS(B379&gt;=80,"A",B379&gt;=60,"B",B379&lt;60,"Pass",B379&lt;33,"Fail")</f>
        <v>B</v>
      </c>
    </row>
    <row r="380" spans="1:4">
      <c r="A380" t="s">
        <v>1901</v>
      </c>
      <c r="B380">
        <v>0</v>
      </c>
      <c r="C380" t="str">
        <f t="shared" si="5"/>
        <v>Fail</v>
      </c>
      <c r="D380" t="str" cm="1">
        <f t="array" ref="D380">_xlfn.IFS(B380&gt;=80,"A",B380&gt;=60,"B",B380&lt;60,"Pass",B380&lt;33,"Fail")</f>
        <v>Pass</v>
      </c>
    </row>
    <row r="381" spans="1:4">
      <c r="A381" t="s">
        <v>1902</v>
      </c>
      <c r="B381">
        <v>98</v>
      </c>
      <c r="C381" t="str">
        <f t="shared" si="5"/>
        <v>Pass</v>
      </c>
      <c r="D381" t="str" cm="1">
        <f t="array" ref="D381">_xlfn.IFS(B381&gt;=80,"A",B381&gt;=60,"B",B381&lt;60,"Pass",B381&lt;33,"Fail")</f>
        <v>A</v>
      </c>
    </row>
    <row r="382" spans="1:4">
      <c r="A382" t="s">
        <v>1903</v>
      </c>
      <c r="B382">
        <v>8</v>
      </c>
      <c r="C382" t="str">
        <f t="shared" si="5"/>
        <v>Fail</v>
      </c>
      <c r="D382" t="str" cm="1">
        <f t="array" ref="D382">_xlfn.IFS(B382&gt;=80,"A",B382&gt;=60,"B",B382&lt;60,"Pass",B382&lt;33,"Fail")</f>
        <v>Pass</v>
      </c>
    </row>
    <row r="383" spans="1:4">
      <c r="A383" t="s">
        <v>1904</v>
      </c>
      <c r="B383">
        <v>9</v>
      </c>
      <c r="C383" t="str">
        <f t="shared" si="5"/>
        <v>Fail</v>
      </c>
      <c r="D383" t="str" cm="1">
        <f t="array" ref="D383">_xlfn.IFS(B383&gt;=80,"A",B383&gt;=60,"B",B383&lt;60,"Pass",B383&lt;33,"Fail")</f>
        <v>Pass</v>
      </c>
    </row>
    <row r="384" spans="1:4">
      <c r="A384" t="s">
        <v>1905</v>
      </c>
      <c r="B384">
        <v>26</v>
      </c>
      <c r="C384" t="str">
        <f t="shared" si="5"/>
        <v>Fail</v>
      </c>
      <c r="D384" t="str" cm="1">
        <f t="array" ref="D384">_xlfn.IFS(B384&gt;=80,"A",B384&gt;=60,"B",B384&lt;60,"Pass",B384&lt;33,"Fail")</f>
        <v>Pass</v>
      </c>
    </row>
    <row r="385" spans="1:4">
      <c r="A385" t="s">
        <v>1906</v>
      </c>
      <c r="B385">
        <v>12</v>
      </c>
      <c r="C385" t="str">
        <f t="shared" si="5"/>
        <v>Fail</v>
      </c>
      <c r="D385" t="str" cm="1">
        <f t="array" ref="D385">_xlfn.IFS(B385&gt;=80,"A",B385&gt;=60,"B",B385&lt;60,"Pass",B385&lt;33,"Fail")</f>
        <v>Pass</v>
      </c>
    </row>
    <row r="386" spans="1:4">
      <c r="A386" t="s">
        <v>1907</v>
      </c>
      <c r="B386">
        <v>85</v>
      </c>
      <c r="C386" t="str">
        <f t="shared" si="5"/>
        <v>Pass</v>
      </c>
      <c r="D386" t="str" cm="1">
        <f t="array" ref="D386">_xlfn.IFS(B386&gt;=80,"A",B386&gt;=60,"B",B386&lt;60,"Pass",B386&lt;33,"Fail")</f>
        <v>A</v>
      </c>
    </row>
    <row r="387" spans="1:4">
      <c r="A387" t="s">
        <v>1908</v>
      </c>
      <c r="B387">
        <v>64</v>
      </c>
      <c r="C387" t="str">
        <f t="shared" ref="C387:C450" si="6">IF(B387&gt;=33,"Pass","Fail")</f>
        <v>Pass</v>
      </c>
      <c r="D387" t="str" cm="1">
        <f t="array" ref="D387">_xlfn.IFS(B387&gt;=80,"A",B387&gt;=60,"B",B387&lt;60,"Pass",B387&lt;33,"Fail")</f>
        <v>B</v>
      </c>
    </row>
    <row r="388" spans="1:4">
      <c r="A388" t="s">
        <v>1909</v>
      </c>
      <c r="B388">
        <v>14</v>
      </c>
      <c r="C388" t="str">
        <f t="shared" si="6"/>
        <v>Fail</v>
      </c>
      <c r="D388" t="str" cm="1">
        <f t="array" ref="D388">_xlfn.IFS(B388&gt;=80,"A",B388&gt;=60,"B",B388&lt;60,"Pass",B388&lt;33,"Fail")</f>
        <v>Pass</v>
      </c>
    </row>
    <row r="389" spans="1:4">
      <c r="A389" t="s">
        <v>1910</v>
      </c>
      <c r="B389">
        <v>69</v>
      </c>
      <c r="C389" t="str">
        <f t="shared" si="6"/>
        <v>Pass</v>
      </c>
      <c r="D389" t="str" cm="1">
        <f t="array" ref="D389">_xlfn.IFS(B389&gt;=80,"A",B389&gt;=60,"B",B389&lt;60,"Pass",B389&lt;33,"Fail")</f>
        <v>B</v>
      </c>
    </row>
    <row r="390" spans="1:4">
      <c r="A390" t="s">
        <v>1911</v>
      </c>
      <c r="B390">
        <v>27</v>
      </c>
      <c r="C390" t="str">
        <f t="shared" si="6"/>
        <v>Fail</v>
      </c>
      <c r="D390" t="str" cm="1">
        <f t="array" ref="D390">_xlfn.IFS(B390&gt;=80,"A",B390&gt;=60,"B",B390&lt;60,"Pass",B390&lt;33,"Fail")</f>
        <v>Pass</v>
      </c>
    </row>
    <row r="391" spans="1:4">
      <c r="A391" t="s">
        <v>1912</v>
      </c>
      <c r="B391">
        <v>43</v>
      </c>
      <c r="C391" t="str">
        <f t="shared" si="6"/>
        <v>Pass</v>
      </c>
      <c r="D391" t="str" cm="1">
        <f t="array" ref="D391">_xlfn.IFS(B391&gt;=80,"A",B391&gt;=60,"B",B391&lt;60,"Pass",B391&lt;33,"Fail")</f>
        <v>Pass</v>
      </c>
    </row>
    <row r="392" spans="1:4">
      <c r="A392" t="s">
        <v>1913</v>
      </c>
      <c r="B392">
        <v>26</v>
      </c>
      <c r="C392" t="str">
        <f t="shared" si="6"/>
        <v>Fail</v>
      </c>
      <c r="D392" t="str" cm="1">
        <f t="array" ref="D392">_xlfn.IFS(B392&gt;=80,"A",B392&gt;=60,"B",B392&lt;60,"Pass",B392&lt;33,"Fail")</f>
        <v>Pass</v>
      </c>
    </row>
    <row r="393" spans="1:4">
      <c r="A393" t="s">
        <v>1914</v>
      </c>
      <c r="B393">
        <v>50</v>
      </c>
      <c r="C393" t="str">
        <f t="shared" si="6"/>
        <v>Pass</v>
      </c>
      <c r="D393" t="str" cm="1">
        <f t="array" ref="D393">_xlfn.IFS(B393&gt;=80,"A",B393&gt;=60,"B",B393&lt;60,"Pass",B393&lt;33,"Fail")</f>
        <v>Pass</v>
      </c>
    </row>
    <row r="394" spans="1:4">
      <c r="A394" t="s">
        <v>1915</v>
      </c>
      <c r="B394">
        <v>97</v>
      </c>
      <c r="C394" t="str">
        <f t="shared" si="6"/>
        <v>Pass</v>
      </c>
      <c r="D394" t="str" cm="1">
        <f t="array" ref="D394">_xlfn.IFS(B394&gt;=80,"A",B394&gt;=60,"B",B394&lt;60,"Pass",B394&lt;33,"Fail")</f>
        <v>A</v>
      </c>
    </row>
    <row r="395" spans="1:4">
      <c r="A395" t="s">
        <v>1916</v>
      </c>
      <c r="B395">
        <v>32</v>
      </c>
      <c r="C395" t="str">
        <f t="shared" si="6"/>
        <v>Fail</v>
      </c>
      <c r="D395" t="str" cm="1">
        <f t="array" ref="D395">_xlfn.IFS(B395&gt;=80,"A",B395&gt;=60,"B",B395&lt;60,"Pass",B395&lt;33,"Fail")</f>
        <v>Pass</v>
      </c>
    </row>
    <row r="396" spans="1:4">
      <c r="A396" t="s">
        <v>1917</v>
      </c>
      <c r="B396">
        <v>0</v>
      </c>
      <c r="C396" t="str">
        <f t="shared" si="6"/>
        <v>Fail</v>
      </c>
      <c r="D396" t="str" cm="1">
        <f t="array" ref="D396">_xlfn.IFS(B396&gt;=80,"A",B396&gt;=60,"B",B396&lt;60,"Pass",B396&lt;33,"Fail")</f>
        <v>Pass</v>
      </c>
    </row>
    <row r="397" spans="1:4">
      <c r="A397" t="s">
        <v>1918</v>
      </c>
      <c r="B397">
        <v>21</v>
      </c>
      <c r="C397" t="str">
        <f t="shared" si="6"/>
        <v>Fail</v>
      </c>
      <c r="D397" t="str" cm="1">
        <f t="array" ref="D397">_xlfn.IFS(B397&gt;=80,"A",B397&gt;=60,"B",B397&lt;60,"Pass",B397&lt;33,"Fail")</f>
        <v>Pass</v>
      </c>
    </row>
    <row r="398" spans="1:4">
      <c r="A398" t="s">
        <v>1919</v>
      </c>
      <c r="B398">
        <v>91</v>
      </c>
      <c r="C398" t="str">
        <f t="shared" si="6"/>
        <v>Pass</v>
      </c>
      <c r="D398" t="str" cm="1">
        <f t="array" ref="D398">_xlfn.IFS(B398&gt;=80,"A",B398&gt;=60,"B",B398&lt;60,"Pass",B398&lt;33,"Fail")</f>
        <v>A</v>
      </c>
    </row>
    <row r="399" spans="1:4">
      <c r="A399" t="s">
        <v>1920</v>
      </c>
      <c r="B399">
        <v>31</v>
      </c>
      <c r="C399" t="str">
        <f t="shared" si="6"/>
        <v>Fail</v>
      </c>
      <c r="D399" t="str" cm="1">
        <f t="array" ref="D399">_xlfn.IFS(B399&gt;=80,"A",B399&gt;=60,"B",B399&lt;60,"Pass",B399&lt;33,"Fail")</f>
        <v>Pass</v>
      </c>
    </row>
    <row r="400" spans="1:4">
      <c r="A400" t="s">
        <v>1921</v>
      </c>
      <c r="B400">
        <v>58</v>
      </c>
      <c r="C400" t="str">
        <f t="shared" si="6"/>
        <v>Pass</v>
      </c>
      <c r="D400" t="str" cm="1">
        <f t="array" ref="D400">_xlfn.IFS(B400&gt;=80,"A",B400&gt;=60,"B",B400&lt;60,"Pass",B400&lt;33,"Fail")</f>
        <v>Pass</v>
      </c>
    </row>
    <row r="401" spans="1:4">
      <c r="A401" t="s">
        <v>1922</v>
      </c>
      <c r="B401">
        <v>99</v>
      </c>
      <c r="C401" t="str">
        <f t="shared" si="6"/>
        <v>Pass</v>
      </c>
      <c r="D401" t="str" cm="1">
        <f t="array" ref="D401">_xlfn.IFS(B401&gt;=80,"A",B401&gt;=60,"B",B401&lt;60,"Pass",B401&lt;33,"Fail")</f>
        <v>A</v>
      </c>
    </row>
    <row r="402" spans="1:4">
      <c r="A402" t="s">
        <v>1923</v>
      </c>
      <c r="B402">
        <v>63</v>
      </c>
      <c r="C402" t="str">
        <f t="shared" si="6"/>
        <v>Pass</v>
      </c>
      <c r="D402" t="str" cm="1">
        <f t="array" ref="D402">_xlfn.IFS(B402&gt;=80,"A",B402&gt;=60,"B",B402&lt;60,"Pass",B402&lt;33,"Fail")</f>
        <v>B</v>
      </c>
    </row>
    <row r="403" spans="1:4">
      <c r="A403" t="s">
        <v>1924</v>
      </c>
      <c r="B403">
        <v>13</v>
      </c>
      <c r="C403" t="str">
        <f t="shared" si="6"/>
        <v>Fail</v>
      </c>
      <c r="D403" t="str" cm="1">
        <f t="array" ref="D403">_xlfn.IFS(B403&gt;=80,"A",B403&gt;=60,"B",B403&lt;60,"Pass",B403&lt;33,"Fail")</f>
        <v>Pass</v>
      </c>
    </row>
    <row r="404" spans="1:4">
      <c r="A404" t="s">
        <v>1925</v>
      </c>
      <c r="B404">
        <v>19</v>
      </c>
      <c r="C404" t="str">
        <f t="shared" si="6"/>
        <v>Fail</v>
      </c>
      <c r="D404" t="str" cm="1">
        <f t="array" ref="D404">_xlfn.IFS(B404&gt;=80,"A",B404&gt;=60,"B",B404&lt;60,"Pass",B404&lt;33,"Fail")</f>
        <v>Pass</v>
      </c>
    </row>
    <row r="405" spans="1:4">
      <c r="A405" t="s">
        <v>1926</v>
      </c>
      <c r="B405">
        <v>66</v>
      </c>
      <c r="C405" t="str">
        <f t="shared" si="6"/>
        <v>Pass</v>
      </c>
      <c r="D405" t="str" cm="1">
        <f t="array" ref="D405">_xlfn.IFS(B405&gt;=80,"A",B405&gt;=60,"B",B405&lt;60,"Pass",B405&lt;33,"Fail")</f>
        <v>B</v>
      </c>
    </row>
    <row r="406" spans="1:4">
      <c r="A406" t="s">
        <v>1927</v>
      </c>
      <c r="B406">
        <v>20</v>
      </c>
      <c r="C406" t="str">
        <f t="shared" si="6"/>
        <v>Fail</v>
      </c>
      <c r="D406" t="str" cm="1">
        <f t="array" ref="D406">_xlfn.IFS(B406&gt;=80,"A",B406&gt;=60,"B",B406&lt;60,"Pass",B406&lt;33,"Fail")</f>
        <v>Pass</v>
      </c>
    </row>
    <row r="407" spans="1:4">
      <c r="A407" t="s">
        <v>1928</v>
      </c>
      <c r="B407">
        <v>5</v>
      </c>
      <c r="C407" t="str">
        <f t="shared" si="6"/>
        <v>Fail</v>
      </c>
      <c r="D407" t="str" cm="1">
        <f t="array" ref="D407">_xlfn.IFS(B407&gt;=80,"A",B407&gt;=60,"B",B407&lt;60,"Pass",B407&lt;33,"Fail")</f>
        <v>Pass</v>
      </c>
    </row>
    <row r="408" spans="1:4">
      <c r="A408" t="s">
        <v>1929</v>
      </c>
      <c r="B408">
        <v>63</v>
      </c>
      <c r="C408" t="str">
        <f t="shared" si="6"/>
        <v>Pass</v>
      </c>
      <c r="D408" t="str" cm="1">
        <f t="array" ref="D408">_xlfn.IFS(B408&gt;=80,"A",B408&gt;=60,"B",B408&lt;60,"Pass",B408&lt;33,"Fail")</f>
        <v>B</v>
      </c>
    </row>
    <row r="409" spans="1:4">
      <c r="A409" t="s">
        <v>1930</v>
      </c>
      <c r="B409">
        <v>43</v>
      </c>
      <c r="C409" t="str">
        <f t="shared" si="6"/>
        <v>Pass</v>
      </c>
      <c r="D409" t="str" cm="1">
        <f t="array" ref="D409">_xlfn.IFS(B409&gt;=80,"A",B409&gt;=60,"B",B409&lt;60,"Pass",B409&lt;33,"Fail")</f>
        <v>Pass</v>
      </c>
    </row>
    <row r="410" spans="1:4">
      <c r="A410" t="s">
        <v>1931</v>
      </c>
      <c r="B410">
        <v>75</v>
      </c>
      <c r="C410" t="str">
        <f t="shared" si="6"/>
        <v>Pass</v>
      </c>
      <c r="D410" t="str" cm="1">
        <f t="array" ref="D410">_xlfn.IFS(B410&gt;=80,"A",B410&gt;=60,"B",B410&lt;60,"Pass",B410&lt;33,"Fail")</f>
        <v>B</v>
      </c>
    </row>
    <row r="411" spans="1:4">
      <c r="A411" t="s">
        <v>1932</v>
      </c>
      <c r="B411">
        <v>9</v>
      </c>
      <c r="C411" t="str">
        <f t="shared" si="6"/>
        <v>Fail</v>
      </c>
      <c r="D411" t="str" cm="1">
        <f t="array" ref="D411">_xlfn.IFS(B411&gt;=80,"A",B411&gt;=60,"B",B411&lt;60,"Pass",B411&lt;33,"Fail")</f>
        <v>Pass</v>
      </c>
    </row>
    <row r="412" spans="1:4">
      <c r="A412" t="s">
        <v>1933</v>
      </c>
      <c r="B412">
        <v>74</v>
      </c>
      <c r="C412" t="str">
        <f t="shared" si="6"/>
        <v>Pass</v>
      </c>
      <c r="D412" t="str" cm="1">
        <f t="array" ref="D412">_xlfn.IFS(B412&gt;=80,"A",B412&gt;=60,"B",B412&lt;60,"Pass",B412&lt;33,"Fail")</f>
        <v>B</v>
      </c>
    </row>
    <row r="413" spans="1:4">
      <c r="A413" t="s">
        <v>1934</v>
      </c>
      <c r="B413">
        <v>2</v>
      </c>
      <c r="C413" t="str">
        <f t="shared" si="6"/>
        <v>Fail</v>
      </c>
      <c r="D413" t="str" cm="1">
        <f t="array" ref="D413">_xlfn.IFS(B413&gt;=80,"A",B413&gt;=60,"B",B413&lt;60,"Pass",B413&lt;33,"Fail")</f>
        <v>Pass</v>
      </c>
    </row>
    <row r="414" spans="1:4">
      <c r="A414" t="s">
        <v>1935</v>
      </c>
      <c r="B414">
        <v>34</v>
      </c>
      <c r="C414" t="str">
        <f t="shared" si="6"/>
        <v>Pass</v>
      </c>
      <c r="D414" t="str" cm="1">
        <f t="array" ref="D414">_xlfn.IFS(B414&gt;=80,"A",B414&gt;=60,"B",B414&lt;60,"Pass",B414&lt;33,"Fail")</f>
        <v>Pass</v>
      </c>
    </row>
    <row r="415" spans="1:4">
      <c r="A415" t="s">
        <v>1936</v>
      </c>
      <c r="B415">
        <v>41</v>
      </c>
      <c r="C415" t="str">
        <f t="shared" si="6"/>
        <v>Pass</v>
      </c>
      <c r="D415" t="str" cm="1">
        <f t="array" ref="D415">_xlfn.IFS(B415&gt;=80,"A",B415&gt;=60,"B",B415&lt;60,"Pass",B415&lt;33,"Fail")</f>
        <v>Pass</v>
      </c>
    </row>
    <row r="416" spans="1:4">
      <c r="A416" t="s">
        <v>1937</v>
      </c>
      <c r="B416">
        <v>62</v>
      </c>
      <c r="C416" t="str">
        <f t="shared" si="6"/>
        <v>Pass</v>
      </c>
      <c r="D416" t="str" cm="1">
        <f t="array" ref="D416">_xlfn.IFS(B416&gt;=80,"A",B416&gt;=60,"B",B416&lt;60,"Pass",B416&lt;33,"Fail")</f>
        <v>B</v>
      </c>
    </row>
    <row r="417" spans="1:4">
      <c r="A417" t="s">
        <v>1938</v>
      </c>
      <c r="B417">
        <v>26</v>
      </c>
      <c r="C417" t="str">
        <f t="shared" si="6"/>
        <v>Fail</v>
      </c>
      <c r="D417" t="str" cm="1">
        <f t="array" ref="D417">_xlfn.IFS(B417&gt;=80,"A",B417&gt;=60,"B",B417&lt;60,"Pass",B417&lt;33,"Fail")</f>
        <v>Pass</v>
      </c>
    </row>
    <row r="418" spans="1:4">
      <c r="A418" t="s">
        <v>1939</v>
      </c>
      <c r="B418">
        <v>0</v>
      </c>
      <c r="C418" t="str">
        <f t="shared" si="6"/>
        <v>Fail</v>
      </c>
      <c r="D418" t="str" cm="1">
        <f t="array" ref="D418">_xlfn.IFS(B418&gt;=80,"A",B418&gt;=60,"B",B418&lt;60,"Pass",B418&lt;33,"Fail")</f>
        <v>Pass</v>
      </c>
    </row>
    <row r="419" spans="1:4">
      <c r="A419" t="s">
        <v>1940</v>
      </c>
      <c r="B419">
        <v>29</v>
      </c>
      <c r="C419" t="str">
        <f t="shared" si="6"/>
        <v>Fail</v>
      </c>
      <c r="D419" t="str" cm="1">
        <f t="array" ref="D419">_xlfn.IFS(B419&gt;=80,"A",B419&gt;=60,"B",B419&lt;60,"Pass",B419&lt;33,"Fail")</f>
        <v>Pass</v>
      </c>
    </row>
    <row r="420" spans="1:4">
      <c r="A420" t="s">
        <v>1941</v>
      </c>
      <c r="B420">
        <v>69</v>
      </c>
      <c r="C420" t="str">
        <f t="shared" si="6"/>
        <v>Pass</v>
      </c>
      <c r="D420" t="str" cm="1">
        <f t="array" ref="D420">_xlfn.IFS(B420&gt;=80,"A",B420&gt;=60,"B",B420&lt;60,"Pass",B420&lt;33,"Fail")</f>
        <v>B</v>
      </c>
    </row>
    <row r="421" spans="1:4">
      <c r="A421" t="s">
        <v>1942</v>
      </c>
      <c r="B421">
        <v>19</v>
      </c>
      <c r="C421" t="str">
        <f t="shared" si="6"/>
        <v>Fail</v>
      </c>
      <c r="D421" t="str" cm="1">
        <f t="array" ref="D421">_xlfn.IFS(B421&gt;=80,"A",B421&gt;=60,"B",B421&lt;60,"Pass",B421&lt;33,"Fail")</f>
        <v>Pass</v>
      </c>
    </row>
    <row r="422" spans="1:4">
      <c r="A422" t="s">
        <v>1943</v>
      </c>
      <c r="B422">
        <v>91</v>
      </c>
      <c r="C422" t="str">
        <f t="shared" si="6"/>
        <v>Pass</v>
      </c>
      <c r="D422" t="str" cm="1">
        <f t="array" ref="D422">_xlfn.IFS(B422&gt;=80,"A",B422&gt;=60,"B",B422&lt;60,"Pass",B422&lt;33,"Fail")</f>
        <v>A</v>
      </c>
    </row>
    <row r="423" spans="1:4">
      <c r="A423" t="s">
        <v>1944</v>
      </c>
      <c r="B423">
        <v>39</v>
      </c>
      <c r="C423" t="str">
        <f t="shared" si="6"/>
        <v>Pass</v>
      </c>
      <c r="D423" t="str" cm="1">
        <f t="array" ref="D423">_xlfn.IFS(B423&gt;=80,"A",B423&gt;=60,"B",B423&lt;60,"Pass",B423&lt;33,"Fail")</f>
        <v>Pass</v>
      </c>
    </row>
    <row r="424" spans="1:4">
      <c r="A424" t="s">
        <v>1945</v>
      </c>
      <c r="B424">
        <v>92</v>
      </c>
      <c r="C424" t="str">
        <f t="shared" si="6"/>
        <v>Pass</v>
      </c>
      <c r="D424" t="str" cm="1">
        <f t="array" ref="D424">_xlfn.IFS(B424&gt;=80,"A",B424&gt;=60,"B",B424&lt;60,"Pass",B424&lt;33,"Fail")</f>
        <v>A</v>
      </c>
    </row>
    <row r="425" spans="1:4">
      <c r="A425" t="s">
        <v>1946</v>
      </c>
      <c r="B425">
        <v>15</v>
      </c>
      <c r="C425" t="str">
        <f t="shared" si="6"/>
        <v>Fail</v>
      </c>
      <c r="D425" t="str" cm="1">
        <f t="array" ref="D425">_xlfn.IFS(B425&gt;=80,"A",B425&gt;=60,"B",B425&lt;60,"Pass",B425&lt;33,"Fail")</f>
        <v>Pass</v>
      </c>
    </row>
    <row r="426" spans="1:4">
      <c r="A426" t="s">
        <v>1947</v>
      </c>
      <c r="B426">
        <v>23</v>
      </c>
      <c r="C426" t="str">
        <f t="shared" si="6"/>
        <v>Fail</v>
      </c>
      <c r="D426" t="str" cm="1">
        <f t="array" ref="D426">_xlfn.IFS(B426&gt;=80,"A",B426&gt;=60,"B",B426&lt;60,"Pass",B426&lt;33,"Fail")</f>
        <v>Pass</v>
      </c>
    </row>
    <row r="427" spans="1:4">
      <c r="A427" t="s">
        <v>1948</v>
      </c>
      <c r="B427">
        <v>35</v>
      </c>
      <c r="C427" t="str">
        <f t="shared" si="6"/>
        <v>Pass</v>
      </c>
      <c r="D427" t="str" cm="1">
        <f t="array" ref="D427">_xlfn.IFS(B427&gt;=80,"A",B427&gt;=60,"B",B427&lt;60,"Pass",B427&lt;33,"Fail")</f>
        <v>Pass</v>
      </c>
    </row>
    <row r="428" spans="1:4">
      <c r="A428" t="s">
        <v>1949</v>
      </c>
      <c r="B428">
        <v>46</v>
      </c>
      <c r="C428" t="str">
        <f t="shared" si="6"/>
        <v>Pass</v>
      </c>
      <c r="D428" t="str" cm="1">
        <f t="array" ref="D428">_xlfn.IFS(B428&gt;=80,"A",B428&gt;=60,"B",B428&lt;60,"Pass",B428&lt;33,"Fail")</f>
        <v>Pass</v>
      </c>
    </row>
    <row r="429" spans="1:4">
      <c r="A429" t="s">
        <v>1950</v>
      </c>
      <c r="B429">
        <v>9</v>
      </c>
      <c r="C429" t="str">
        <f t="shared" si="6"/>
        <v>Fail</v>
      </c>
      <c r="D429" t="str" cm="1">
        <f t="array" ref="D429">_xlfn.IFS(B429&gt;=80,"A",B429&gt;=60,"B",B429&lt;60,"Pass",B429&lt;33,"Fail")</f>
        <v>Pass</v>
      </c>
    </row>
    <row r="430" spans="1:4">
      <c r="A430" t="s">
        <v>1951</v>
      </c>
      <c r="B430">
        <v>17</v>
      </c>
      <c r="C430" t="str">
        <f t="shared" si="6"/>
        <v>Fail</v>
      </c>
      <c r="D430" t="str" cm="1">
        <f t="array" ref="D430">_xlfn.IFS(B430&gt;=80,"A",B430&gt;=60,"B",B430&lt;60,"Pass",B430&lt;33,"Fail")</f>
        <v>Pass</v>
      </c>
    </row>
    <row r="431" spans="1:4">
      <c r="A431" t="s">
        <v>1952</v>
      </c>
      <c r="B431">
        <v>99</v>
      </c>
      <c r="C431" t="str">
        <f t="shared" si="6"/>
        <v>Pass</v>
      </c>
      <c r="D431" t="str" cm="1">
        <f t="array" ref="D431">_xlfn.IFS(B431&gt;=80,"A",B431&gt;=60,"B",B431&lt;60,"Pass",B431&lt;33,"Fail")</f>
        <v>A</v>
      </c>
    </row>
    <row r="432" spans="1:4">
      <c r="A432" t="s">
        <v>1953</v>
      </c>
      <c r="B432">
        <v>59</v>
      </c>
      <c r="C432" t="str">
        <f t="shared" si="6"/>
        <v>Pass</v>
      </c>
      <c r="D432" t="str" cm="1">
        <f t="array" ref="D432">_xlfn.IFS(B432&gt;=80,"A",B432&gt;=60,"B",B432&lt;60,"Pass",B432&lt;33,"Fail")</f>
        <v>Pass</v>
      </c>
    </row>
    <row r="433" spans="1:4">
      <c r="A433" t="s">
        <v>1954</v>
      </c>
      <c r="B433">
        <v>67</v>
      </c>
      <c r="C433" t="str">
        <f t="shared" si="6"/>
        <v>Pass</v>
      </c>
      <c r="D433" t="str" cm="1">
        <f t="array" ref="D433">_xlfn.IFS(B433&gt;=80,"A",B433&gt;=60,"B",B433&lt;60,"Pass",B433&lt;33,"Fail")</f>
        <v>B</v>
      </c>
    </row>
    <row r="434" spans="1:4">
      <c r="A434" t="s">
        <v>1955</v>
      </c>
      <c r="B434">
        <v>81</v>
      </c>
      <c r="C434" t="str">
        <f t="shared" si="6"/>
        <v>Pass</v>
      </c>
      <c r="D434" t="str" cm="1">
        <f t="array" ref="D434">_xlfn.IFS(B434&gt;=80,"A",B434&gt;=60,"B",B434&lt;60,"Pass",B434&lt;33,"Fail")</f>
        <v>A</v>
      </c>
    </row>
    <row r="435" spans="1:4">
      <c r="A435" t="s">
        <v>1956</v>
      </c>
      <c r="B435">
        <v>67</v>
      </c>
      <c r="C435" t="str">
        <f t="shared" si="6"/>
        <v>Pass</v>
      </c>
      <c r="D435" t="str" cm="1">
        <f t="array" ref="D435">_xlfn.IFS(B435&gt;=80,"A",B435&gt;=60,"B",B435&lt;60,"Pass",B435&lt;33,"Fail")</f>
        <v>B</v>
      </c>
    </row>
    <row r="436" spans="1:4">
      <c r="A436" t="s">
        <v>1957</v>
      </c>
      <c r="B436">
        <v>81</v>
      </c>
      <c r="C436" t="str">
        <f t="shared" si="6"/>
        <v>Pass</v>
      </c>
      <c r="D436" t="str" cm="1">
        <f t="array" ref="D436">_xlfn.IFS(B436&gt;=80,"A",B436&gt;=60,"B",B436&lt;60,"Pass",B436&lt;33,"Fail")</f>
        <v>A</v>
      </c>
    </row>
    <row r="437" spans="1:4">
      <c r="A437" t="s">
        <v>1958</v>
      </c>
      <c r="B437">
        <v>49</v>
      </c>
      <c r="C437" t="str">
        <f t="shared" si="6"/>
        <v>Pass</v>
      </c>
      <c r="D437" t="str" cm="1">
        <f t="array" ref="D437">_xlfn.IFS(B437&gt;=80,"A",B437&gt;=60,"B",B437&lt;60,"Pass",B437&lt;33,"Fail")</f>
        <v>Pass</v>
      </c>
    </row>
    <row r="438" spans="1:4">
      <c r="A438" t="s">
        <v>1959</v>
      </c>
      <c r="B438">
        <v>83</v>
      </c>
      <c r="C438" t="str">
        <f t="shared" si="6"/>
        <v>Pass</v>
      </c>
      <c r="D438" t="str" cm="1">
        <f t="array" ref="D438">_xlfn.IFS(B438&gt;=80,"A",B438&gt;=60,"B",B438&lt;60,"Pass",B438&lt;33,"Fail")</f>
        <v>A</v>
      </c>
    </row>
    <row r="439" spans="1:4">
      <c r="A439" t="s">
        <v>1960</v>
      </c>
      <c r="B439">
        <v>93</v>
      </c>
      <c r="C439" t="str">
        <f t="shared" si="6"/>
        <v>Pass</v>
      </c>
      <c r="D439" t="str" cm="1">
        <f t="array" ref="D439">_xlfn.IFS(B439&gt;=80,"A",B439&gt;=60,"B",B439&lt;60,"Pass",B439&lt;33,"Fail")</f>
        <v>A</v>
      </c>
    </row>
    <row r="440" spans="1:4">
      <c r="A440" t="s">
        <v>1961</v>
      </c>
      <c r="B440">
        <v>53</v>
      </c>
      <c r="C440" t="str">
        <f t="shared" si="6"/>
        <v>Pass</v>
      </c>
      <c r="D440" t="str" cm="1">
        <f t="array" ref="D440">_xlfn.IFS(B440&gt;=80,"A",B440&gt;=60,"B",B440&lt;60,"Pass",B440&lt;33,"Fail")</f>
        <v>Pass</v>
      </c>
    </row>
    <row r="441" spans="1:4">
      <c r="A441" t="s">
        <v>1962</v>
      </c>
      <c r="B441">
        <v>77</v>
      </c>
      <c r="C441" t="str">
        <f t="shared" si="6"/>
        <v>Pass</v>
      </c>
      <c r="D441" t="str" cm="1">
        <f t="array" ref="D441">_xlfn.IFS(B441&gt;=80,"A",B441&gt;=60,"B",B441&lt;60,"Pass",B441&lt;33,"Fail")</f>
        <v>B</v>
      </c>
    </row>
    <row r="442" spans="1:4">
      <c r="A442" t="s">
        <v>1963</v>
      </c>
      <c r="B442">
        <v>73</v>
      </c>
      <c r="C442" t="str">
        <f t="shared" si="6"/>
        <v>Pass</v>
      </c>
      <c r="D442" t="str" cm="1">
        <f t="array" ref="D442">_xlfn.IFS(B442&gt;=80,"A",B442&gt;=60,"B",B442&lt;60,"Pass",B442&lt;33,"Fail")</f>
        <v>B</v>
      </c>
    </row>
    <row r="443" spans="1:4">
      <c r="A443" t="s">
        <v>1964</v>
      </c>
      <c r="B443">
        <v>86</v>
      </c>
      <c r="C443" t="str">
        <f t="shared" si="6"/>
        <v>Pass</v>
      </c>
      <c r="D443" t="str" cm="1">
        <f t="array" ref="D443">_xlfn.IFS(B443&gt;=80,"A",B443&gt;=60,"B",B443&lt;60,"Pass",B443&lt;33,"Fail")</f>
        <v>A</v>
      </c>
    </row>
    <row r="444" spans="1:4">
      <c r="A444" t="s">
        <v>1965</v>
      </c>
      <c r="B444">
        <v>27</v>
      </c>
      <c r="C444" t="str">
        <f t="shared" si="6"/>
        <v>Fail</v>
      </c>
      <c r="D444" t="str" cm="1">
        <f t="array" ref="D444">_xlfn.IFS(B444&gt;=80,"A",B444&gt;=60,"B",B444&lt;60,"Pass",B444&lt;33,"Fail")</f>
        <v>Pass</v>
      </c>
    </row>
    <row r="445" spans="1:4">
      <c r="A445" t="s">
        <v>1966</v>
      </c>
      <c r="B445">
        <v>17</v>
      </c>
      <c r="C445" t="str">
        <f t="shared" si="6"/>
        <v>Fail</v>
      </c>
      <c r="D445" t="str" cm="1">
        <f t="array" ref="D445">_xlfn.IFS(B445&gt;=80,"A",B445&gt;=60,"B",B445&lt;60,"Pass",B445&lt;33,"Fail")</f>
        <v>Pass</v>
      </c>
    </row>
    <row r="446" spans="1:4">
      <c r="A446" t="s">
        <v>1967</v>
      </c>
      <c r="B446">
        <v>15</v>
      </c>
      <c r="C446" t="str">
        <f t="shared" si="6"/>
        <v>Fail</v>
      </c>
      <c r="D446" t="str" cm="1">
        <f t="array" ref="D446">_xlfn.IFS(B446&gt;=80,"A",B446&gt;=60,"B",B446&lt;60,"Pass",B446&lt;33,"Fail")</f>
        <v>Pass</v>
      </c>
    </row>
    <row r="447" spans="1:4">
      <c r="A447" t="s">
        <v>1968</v>
      </c>
      <c r="B447">
        <v>45</v>
      </c>
      <c r="C447" t="str">
        <f t="shared" si="6"/>
        <v>Pass</v>
      </c>
      <c r="D447" t="str" cm="1">
        <f t="array" ref="D447">_xlfn.IFS(B447&gt;=80,"A",B447&gt;=60,"B",B447&lt;60,"Pass",B447&lt;33,"Fail")</f>
        <v>Pass</v>
      </c>
    </row>
    <row r="448" spans="1:4">
      <c r="A448" t="s">
        <v>1969</v>
      </c>
      <c r="B448">
        <v>14</v>
      </c>
      <c r="C448" t="str">
        <f t="shared" si="6"/>
        <v>Fail</v>
      </c>
      <c r="D448" t="str" cm="1">
        <f t="array" ref="D448">_xlfn.IFS(B448&gt;=80,"A",B448&gt;=60,"B",B448&lt;60,"Pass",B448&lt;33,"Fail")</f>
        <v>Pass</v>
      </c>
    </row>
    <row r="449" spans="1:4">
      <c r="A449" t="s">
        <v>1970</v>
      </c>
      <c r="B449">
        <v>84</v>
      </c>
      <c r="C449" t="str">
        <f t="shared" si="6"/>
        <v>Pass</v>
      </c>
      <c r="D449" t="str" cm="1">
        <f t="array" ref="D449">_xlfn.IFS(B449&gt;=80,"A",B449&gt;=60,"B",B449&lt;60,"Pass",B449&lt;33,"Fail")</f>
        <v>A</v>
      </c>
    </row>
    <row r="450" spans="1:4">
      <c r="A450" t="s">
        <v>1971</v>
      </c>
      <c r="B450">
        <v>99</v>
      </c>
      <c r="C450" t="str">
        <f t="shared" si="6"/>
        <v>Pass</v>
      </c>
      <c r="D450" t="str" cm="1">
        <f t="array" ref="D450">_xlfn.IFS(B450&gt;=80,"A",B450&gt;=60,"B",B450&lt;60,"Pass",B450&lt;33,"Fail")</f>
        <v>A</v>
      </c>
    </row>
    <row r="451" spans="1:4">
      <c r="A451" t="s">
        <v>1972</v>
      </c>
      <c r="B451">
        <v>85</v>
      </c>
      <c r="C451" t="str">
        <f t="shared" ref="C451:C501" si="7">IF(B451&gt;=33,"Pass","Fail")</f>
        <v>Pass</v>
      </c>
      <c r="D451" t="str" cm="1">
        <f t="array" ref="D451">_xlfn.IFS(B451&gt;=80,"A",B451&gt;=60,"B",B451&lt;60,"Pass",B451&lt;33,"Fail")</f>
        <v>A</v>
      </c>
    </row>
    <row r="452" spans="1:4">
      <c r="A452" t="s">
        <v>1973</v>
      </c>
      <c r="B452">
        <v>38</v>
      </c>
      <c r="C452" t="str">
        <f t="shared" si="7"/>
        <v>Pass</v>
      </c>
      <c r="D452" t="str" cm="1">
        <f t="array" ref="D452">_xlfn.IFS(B452&gt;=80,"A",B452&gt;=60,"B",B452&lt;60,"Pass",B452&lt;33,"Fail")</f>
        <v>Pass</v>
      </c>
    </row>
    <row r="453" spans="1:4">
      <c r="A453" t="s">
        <v>1974</v>
      </c>
      <c r="B453">
        <v>20</v>
      </c>
      <c r="C453" t="str">
        <f t="shared" si="7"/>
        <v>Fail</v>
      </c>
      <c r="D453" t="str" cm="1">
        <f t="array" ref="D453">_xlfn.IFS(B453&gt;=80,"A",B453&gt;=60,"B",B453&lt;60,"Pass",B453&lt;33,"Fail")</f>
        <v>Pass</v>
      </c>
    </row>
    <row r="454" spans="1:4">
      <c r="A454" t="s">
        <v>1975</v>
      </c>
      <c r="B454">
        <v>98</v>
      </c>
      <c r="C454" t="str">
        <f t="shared" si="7"/>
        <v>Pass</v>
      </c>
      <c r="D454" t="str" cm="1">
        <f t="array" ref="D454">_xlfn.IFS(B454&gt;=80,"A",B454&gt;=60,"B",B454&lt;60,"Pass",B454&lt;33,"Fail")</f>
        <v>A</v>
      </c>
    </row>
    <row r="455" spans="1:4">
      <c r="A455" t="s">
        <v>1976</v>
      </c>
      <c r="B455">
        <v>53</v>
      </c>
      <c r="C455" t="str">
        <f t="shared" si="7"/>
        <v>Pass</v>
      </c>
      <c r="D455" t="str" cm="1">
        <f t="array" ref="D455">_xlfn.IFS(B455&gt;=80,"A",B455&gt;=60,"B",B455&lt;60,"Pass",B455&lt;33,"Fail")</f>
        <v>Pass</v>
      </c>
    </row>
    <row r="456" spans="1:4">
      <c r="A456" t="s">
        <v>1977</v>
      </c>
      <c r="B456">
        <v>3</v>
      </c>
      <c r="C456" t="str">
        <f t="shared" si="7"/>
        <v>Fail</v>
      </c>
      <c r="D456" t="str" cm="1">
        <f t="array" ref="D456">_xlfn.IFS(B456&gt;=80,"A",B456&gt;=60,"B",B456&lt;60,"Pass",B456&lt;33,"Fail")</f>
        <v>Pass</v>
      </c>
    </row>
    <row r="457" spans="1:4">
      <c r="A457" t="s">
        <v>1978</v>
      </c>
      <c r="B457">
        <v>68</v>
      </c>
      <c r="C457" t="str">
        <f t="shared" si="7"/>
        <v>Pass</v>
      </c>
      <c r="D457" t="str" cm="1">
        <f t="array" ref="D457">_xlfn.IFS(B457&gt;=80,"A",B457&gt;=60,"B",B457&lt;60,"Pass",B457&lt;33,"Fail")</f>
        <v>B</v>
      </c>
    </row>
    <row r="458" spans="1:4">
      <c r="A458" t="s">
        <v>1979</v>
      </c>
      <c r="B458">
        <v>58</v>
      </c>
      <c r="C458" t="str">
        <f t="shared" si="7"/>
        <v>Pass</v>
      </c>
      <c r="D458" t="str" cm="1">
        <f t="array" ref="D458">_xlfn.IFS(B458&gt;=80,"A",B458&gt;=60,"B",B458&lt;60,"Pass",B458&lt;33,"Fail")</f>
        <v>Pass</v>
      </c>
    </row>
    <row r="459" spans="1:4">
      <c r="A459" t="s">
        <v>1980</v>
      </c>
      <c r="B459">
        <v>96</v>
      </c>
      <c r="C459" t="str">
        <f t="shared" si="7"/>
        <v>Pass</v>
      </c>
      <c r="D459" t="str" cm="1">
        <f t="array" ref="D459">_xlfn.IFS(B459&gt;=80,"A",B459&gt;=60,"B",B459&lt;60,"Pass",B459&lt;33,"Fail")</f>
        <v>A</v>
      </c>
    </row>
    <row r="460" spans="1:4">
      <c r="A460" t="s">
        <v>1981</v>
      </c>
      <c r="B460">
        <v>62</v>
      </c>
      <c r="C460" t="str">
        <f t="shared" si="7"/>
        <v>Pass</v>
      </c>
      <c r="D460" t="str" cm="1">
        <f t="array" ref="D460">_xlfn.IFS(B460&gt;=80,"A",B460&gt;=60,"B",B460&lt;60,"Pass",B460&lt;33,"Fail")</f>
        <v>B</v>
      </c>
    </row>
    <row r="461" spans="1:4">
      <c r="A461" t="s">
        <v>1982</v>
      </c>
      <c r="B461">
        <v>96</v>
      </c>
      <c r="C461" t="str">
        <f t="shared" si="7"/>
        <v>Pass</v>
      </c>
      <c r="D461" t="str" cm="1">
        <f t="array" ref="D461">_xlfn.IFS(B461&gt;=80,"A",B461&gt;=60,"B",B461&lt;60,"Pass",B461&lt;33,"Fail")</f>
        <v>A</v>
      </c>
    </row>
    <row r="462" spans="1:4">
      <c r="A462" t="s">
        <v>1983</v>
      </c>
      <c r="B462">
        <v>34</v>
      </c>
      <c r="C462" t="str">
        <f t="shared" si="7"/>
        <v>Pass</v>
      </c>
      <c r="D462" t="str" cm="1">
        <f t="array" ref="D462">_xlfn.IFS(B462&gt;=80,"A",B462&gt;=60,"B",B462&lt;60,"Pass",B462&lt;33,"Fail")</f>
        <v>Pass</v>
      </c>
    </row>
    <row r="463" spans="1:4">
      <c r="A463" t="s">
        <v>1984</v>
      </c>
      <c r="B463">
        <v>46</v>
      </c>
      <c r="C463" t="str">
        <f t="shared" si="7"/>
        <v>Pass</v>
      </c>
      <c r="D463" t="str" cm="1">
        <f t="array" ref="D463">_xlfn.IFS(B463&gt;=80,"A",B463&gt;=60,"B",B463&lt;60,"Pass",B463&lt;33,"Fail")</f>
        <v>Pass</v>
      </c>
    </row>
    <row r="464" spans="1:4">
      <c r="A464" t="s">
        <v>1985</v>
      </c>
      <c r="B464">
        <v>56</v>
      </c>
      <c r="C464" t="str">
        <f t="shared" si="7"/>
        <v>Pass</v>
      </c>
      <c r="D464" t="str" cm="1">
        <f t="array" ref="D464">_xlfn.IFS(B464&gt;=80,"A",B464&gt;=60,"B",B464&lt;60,"Pass",B464&lt;33,"Fail")</f>
        <v>Pass</v>
      </c>
    </row>
    <row r="465" spans="1:4">
      <c r="A465" t="s">
        <v>1986</v>
      </c>
      <c r="B465">
        <v>33</v>
      </c>
      <c r="C465" t="str">
        <f t="shared" si="7"/>
        <v>Pass</v>
      </c>
      <c r="D465" t="str" cm="1">
        <f t="array" ref="D465">_xlfn.IFS(B465&gt;=80,"A",B465&gt;=60,"B",B465&lt;60,"Pass",B465&lt;33,"Fail")</f>
        <v>Pass</v>
      </c>
    </row>
    <row r="466" spans="1:4">
      <c r="A466" t="s">
        <v>1987</v>
      </c>
      <c r="B466">
        <v>78</v>
      </c>
      <c r="C466" t="str">
        <f t="shared" si="7"/>
        <v>Pass</v>
      </c>
      <c r="D466" t="str" cm="1">
        <f t="array" ref="D466">_xlfn.IFS(B466&gt;=80,"A",B466&gt;=60,"B",B466&lt;60,"Pass",B466&lt;33,"Fail")</f>
        <v>B</v>
      </c>
    </row>
    <row r="467" spans="1:4">
      <c r="A467" t="s">
        <v>1988</v>
      </c>
      <c r="B467">
        <v>65</v>
      </c>
      <c r="C467" t="str">
        <f t="shared" si="7"/>
        <v>Pass</v>
      </c>
      <c r="D467" t="str" cm="1">
        <f t="array" ref="D467">_xlfn.IFS(B467&gt;=80,"A",B467&gt;=60,"B",B467&lt;60,"Pass",B467&lt;33,"Fail")</f>
        <v>B</v>
      </c>
    </row>
    <row r="468" spans="1:4">
      <c r="A468" t="s">
        <v>1989</v>
      </c>
      <c r="B468">
        <v>78</v>
      </c>
      <c r="C468" t="str">
        <f t="shared" si="7"/>
        <v>Pass</v>
      </c>
      <c r="D468" t="str" cm="1">
        <f t="array" ref="D468">_xlfn.IFS(B468&gt;=80,"A",B468&gt;=60,"B",B468&lt;60,"Pass",B468&lt;33,"Fail")</f>
        <v>B</v>
      </c>
    </row>
    <row r="469" spans="1:4">
      <c r="A469" t="s">
        <v>1990</v>
      </c>
      <c r="B469">
        <v>29</v>
      </c>
      <c r="C469" t="str">
        <f t="shared" si="7"/>
        <v>Fail</v>
      </c>
      <c r="D469" t="str" cm="1">
        <f t="array" ref="D469">_xlfn.IFS(B469&gt;=80,"A",B469&gt;=60,"B",B469&lt;60,"Pass",B469&lt;33,"Fail")</f>
        <v>Pass</v>
      </c>
    </row>
    <row r="470" spans="1:4">
      <c r="A470" t="s">
        <v>1991</v>
      </c>
      <c r="B470">
        <v>41</v>
      </c>
      <c r="C470" t="str">
        <f t="shared" si="7"/>
        <v>Pass</v>
      </c>
      <c r="D470" t="str" cm="1">
        <f t="array" ref="D470">_xlfn.IFS(B470&gt;=80,"A",B470&gt;=60,"B",B470&lt;60,"Pass",B470&lt;33,"Fail")</f>
        <v>Pass</v>
      </c>
    </row>
    <row r="471" spans="1:4">
      <c r="A471" t="s">
        <v>1992</v>
      </c>
      <c r="B471">
        <v>66</v>
      </c>
      <c r="C471" t="str">
        <f t="shared" si="7"/>
        <v>Pass</v>
      </c>
      <c r="D471" t="str" cm="1">
        <f t="array" ref="D471">_xlfn.IFS(B471&gt;=80,"A",B471&gt;=60,"B",B471&lt;60,"Pass",B471&lt;33,"Fail")</f>
        <v>B</v>
      </c>
    </row>
    <row r="472" spans="1:4">
      <c r="A472" t="s">
        <v>1993</v>
      </c>
      <c r="B472">
        <v>17</v>
      </c>
      <c r="C472" t="str">
        <f t="shared" si="7"/>
        <v>Fail</v>
      </c>
      <c r="D472" t="str" cm="1">
        <f t="array" ref="D472">_xlfn.IFS(B472&gt;=80,"A",B472&gt;=60,"B",B472&lt;60,"Pass",B472&lt;33,"Fail")</f>
        <v>Pass</v>
      </c>
    </row>
    <row r="473" spans="1:4">
      <c r="A473" t="s">
        <v>1994</v>
      </c>
      <c r="B473">
        <v>99</v>
      </c>
      <c r="C473" t="str">
        <f t="shared" si="7"/>
        <v>Pass</v>
      </c>
      <c r="D473" t="str" cm="1">
        <f t="array" ref="D473">_xlfn.IFS(B473&gt;=80,"A",B473&gt;=60,"B",B473&lt;60,"Pass",B473&lt;33,"Fail")</f>
        <v>A</v>
      </c>
    </row>
    <row r="474" spans="1:4">
      <c r="A474" t="s">
        <v>1995</v>
      </c>
      <c r="B474">
        <v>99</v>
      </c>
      <c r="C474" t="str">
        <f t="shared" si="7"/>
        <v>Pass</v>
      </c>
      <c r="D474" t="str" cm="1">
        <f t="array" ref="D474">_xlfn.IFS(B474&gt;=80,"A",B474&gt;=60,"B",B474&lt;60,"Pass",B474&lt;33,"Fail")</f>
        <v>A</v>
      </c>
    </row>
    <row r="475" spans="1:4">
      <c r="A475" t="s">
        <v>1996</v>
      </c>
      <c r="B475">
        <v>8</v>
      </c>
      <c r="C475" t="str">
        <f t="shared" si="7"/>
        <v>Fail</v>
      </c>
      <c r="D475" t="str" cm="1">
        <f t="array" ref="D475">_xlfn.IFS(B475&gt;=80,"A",B475&gt;=60,"B",B475&lt;60,"Pass",B475&lt;33,"Fail")</f>
        <v>Pass</v>
      </c>
    </row>
    <row r="476" spans="1:4">
      <c r="A476" t="s">
        <v>1997</v>
      </c>
      <c r="B476">
        <v>26</v>
      </c>
      <c r="C476" t="str">
        <f t="shared" si="7"/>
        <v>Fail</v>
      </c>
      <c r="D476" t="str" cm="1">
        <f t="array" ref="D476">_xlfn.IFS(B476&gt;=80,"A",B476&gt;=60,"B",B476&lt;60,"Pass",B476&lt;33,"Fail")</f>
        <v>Pass</v>
      </c>
    </row>
    <row r="477" spans="1:4">
      <c r="A477" t="s">
        <v>1998</v>
      </c>
      <c r="B477">
        <v>44</v>
      </c>
      <c r="C477" t="str">
        <f t="shared" si="7"/>
        <v>Pass</v>
      </c>
      <c r="D477" t="str" cm="1">
        <f t="array" ref="D477">_xlfn.IFS(B477&gt;=80,"A",B477&gt;=60,"B",B477&lt;60,"Pass",B477&lt;33,"Fail")</f>
        <v>Pass</v>
      </c>
    </row>
    <row r="478" spans="1:4">
      <c r="A478" t="s">
        <v>1999</v>
      </c>
      <c r="B478">
        <v>35</v>
      </c>
      <c r="C478" t="str">
        <f t="shared" si="7"/>
        <v>Pass</v>
      </c>
      <c r="D478" t="str" cm="1">
        <f t="array" ref="D478">_xlfn.IFS(B478&gt;=80,"A",B478&gt;=60,"B",B478&lt;60,"Pass",B478&lt;33,"Fail")</f>
        <v>Pass</v>
      </c>
    </row>
    <row r="479" spans="1:4">
      <c r="A479" t="s">
        <v>2000</v>
      </c>
      <c r="B479">
        <v>6</v>
      </c>
      <c r="C479" t="str">
        <f t="shared" si="7"/>
        <v>Fail</v>
      </c>
      <c r="D479" t="str" cm="1">
        <f t="array" ref="D479">_xlfn.IFS(B479&gt;=80,"A",B479&gt;=60,"B",B479&lt;60,"Pass",B479&lt;33,"Fail")</f>
        <v>Pass</v>
      </c>
    </row>
    <row r="480" spans="1:4">
      <c r="A480" t="s">
        <v>2001</v>
      </c>
      <c r="B480">
        <v>29</v>
      </c>
      <c r="C480" t="str">
        <f t="shared" si="7"/>
        <v>Fail</v>
      </c>
      <c r="D480" t="str" cm="1">
        <f t="array" ref="D480">_xlfn.IFS(B480&gt;=80,"A",B480&gt;=60,"B",B480&lt;60,"Pass",B480&lt;33,"Fail")</f>
        <v>Pass</v>
      </c>
    </row>
    <row r="481" spans="1:4">
      <c r="A481" t="s">
        <v>2002</v>
      </c>
      <c r="B481">
        <v>79</v>
      </c>
      <c r="C481" t="str">
        <f t="shared" si="7"/>
        <v>Pass</v>
      </c>
      <c r="D481" t="str" cm="1">
        <f t="array" ref="D481">_xlfn.IFS(B481&gt;=80,"A",B481&gt;=60,"B",B481&lt;60,"Pass",B481&lt;33,"Fail")</f>
        <v>B</v>
      </c>
    </row>
    <row r="482" spans="1:4">
      <c r="A482" t="s">
        <v>2003</v>
      </c>
      <c r="B482">
        <v>22</v>
      </c>
      <c r="C482" t="str">
        <f t="shared" si="7"/>
        <v>Fail</v>
      </c>
      <c r="D482" t="str" cm="1">
        <f t="array" ref="D482">_xlfn.IFS(B482&gt;=80,"A",B482&gt;=60,"B",B482&lt;60,"Pass",B482&lt;33,"Fail")</f>
        <v>Pass</v>
      </c>
    </row>
    <row r="483" spans="1:4">
      <c r="A483" t="s">
        <v>2004</v>
      </c>
      <c r="B483">
        <v>16</v>
      </c>
      <c r="C483" t="str">
        <f t="shared" si="7"/>
        <v>Fail</v>
      </c>
      <c r="D483" t="str" cm="1">
        <f t="array" ref="D483">_xlfn.IFS(B483&gt;=80,"A",B483&gt;=60,"B",B483&lt;60,"Pass",B483&lt;33,"Fail")</f>
        <v>Pass</v>
      </c>
    </row>
    <row r="484" spans="1:4">
      <c r="A484" t="s">
        <v>2005</v>
      </c>
      <c r="B484">
        <v>10</v>
      </c>
      <c r="C484" t="str">
        <f t="shared" si="7"/>
        <v>Fail</v>
      </c>
      <c r="D484" t="str" cm="1">
        <f t="array" ref="D484">_xlfn.IFS(B484&gt;=80,"A",B484&gt;=60,"B",B484&lt;60,"Pass",B484&lt;33,"Fail")</f>
        <v>Pass</v>
      </c>
    </row>
    <row r="485" spans="1:4">
      <c r="A485" t="s">
        <v>2006</v>
      </c>
      <c r="B485">
        <v>12</v>
      </c>
      <c r="C485" t="str">
        <f t="shared" si="7"/>
        <v>Fail</v>
      </c>
      <c r="D485" t="str" cm="1">
        <f t="array" ref="D485">_xlfn.IFS(B485&gt;=80,"A",B485&gt;=60,"B",B485&lt;60,"Pass",B485&lt;33,"Fail")</f>
        <v>Pass</v>
      </c>
    </row>
    <row r="486" spans="1:4">
      <c r="A486" t="s">
        <v>2007</v>
      </c>
      <c r="B486">
        <v>41</v>
      </c>
      <c r="C486" t="str">
        <f t="shared" si="7"/>
        <v>Pass</v>
      </c>
      <c r="D486" t="str" cm="1">
        <f t="array" ref="D486">_xlfn.IFS(B486&gt;=80,"A",B486&gt;=60,"B",B486&lt;60,"Pass",B486&lt;33,"Fail")</f>
        <v>Pass</v>
      </c>
    </row>
    <row r="487" spans="1:4">
      <c r="A487" t="s">
        <v>2008</v>
      </c>
      <c r="B487">
        <v>3</v>
      </c>
      <c r="C487" t="str">
        <f t="shared" si="7"/>
        <v>Fail</v>
      </c>
      <c r="D487" t="str" cm="1">
        <f t="array" ref="D487">_xlfn.IFS(B487&gt;=80,"A",B487&gt;=60,"B",B487&lt;60,"Pass",B487&lt;33,"Fail")</f>
        <v>Pass</v>
      </c>
    </row>
    <row r="488" spans="1:4">
      <c r="A488" t="s">
        <v>2009</v>
      </c>
      <c r="B488">
        <v>67</v>
      </c>
      <c r="C488" t="str">
        <f t="shared" si="7"/>
        <v>Pass</v>
      </c>
      <c r="D488" t="str" cm="1">
        <f t="array" ref="D488">_xlfn.IFS(B488&gt;=80,"A",B488&gt;=60,"B",B488&lt;60,"Pass",B488&lt;33,"Fail")</f>
        <v>B</v>
      </c>
    </row>
    <row r="489" spans="1:4">
      <c r="A489" t="s">
        <v>2010</v>
      </c>
      <c r="B489">
        <v>54</v>
      </c>
      <c r="C489" t="str">
        <f t="shared" si="7"/>
        <v>Pass</v>
      </c>
      <c r="D489" t="str" cm="1">
        <f t="array" ref="D489">_xlfn.IFS(B489&gt;=80,"A",B489&gt;=60,"B",B489&lt;60,"Pass",B489&lt;33,"Fail")</f>
        <v>Pass</v>
      </c>
    </row>
    <row r="490" spans="1:4">
      <c r="A490" t="s">
        <v>2011</v>
      </c>
      <c r="B490">
        <v>71</v>
      </c>
      <c r="C490" t="str">
        <f t="shared" si="7"/>
        <v>Pass</v>
      </c>
      <c r="D490" t="str" cm="1">
        <f t="array" ref="D490">_xlfn.IFS(B490&gt;=80,"A",B490&gt;=60,"B",B490&lt;60,"Pass",B490&lt;33,"Fail")</f>
        <v>B</v>
      </c>
    </row>
    <row r="491" spans="1:4">
      <c r="A491" t="s">
        <v>2012</v>
      </c>
      <c r="B491">
        <v>43</v>
      </c>
      <c r="C491" t="str">
        <f t="shared" si="7"/>
        <v>Pass</v>
      </c>
      <c r="D491" t="str" cm="1">
        <f t="array" ref="D491">_xlfn.IFS(B491&gt;=80,"A",B491&gt;=60,"B",B491&lt;60,"Pass",B491&lt;33,"Fail")</f>
        <v>Pass</v>
      </c>
    </row>
    <row r="492" spans="1:4">
      <c r="A492" t="s">
        <v>2013</v>
      </c>
      <c r="B492">
        <v>45</v>
      </c>
      <c r="C492" t="str">
        <f t="shared" si="7"/>
        <v>Pass</v>
      </c>
      <c r="D492" t="str" cm="1">
        <f t="array" ref="D492">_xlfn.IFS(B492&gt;=80,"A",B492&gt;=60,"B",B492&lt;60,"Pass",B492&lt;33,"Fail")</f>
        <v>Pass</v>
      </c>
    </row>
    <row r="493" spans="1:4">
      <c r="A493" t="s">
        <v>2014</v>
      </c>
      <c r="B493">
        <v>31</v>
      </c>
      <c r="C493" t="str">
        <f t="shared" si="7"/>
        <v>Fail</v>
      </c>
      <c r="D493" t="str" cm="1">
        <f t="array" ref="D493">_xlfn.IFS(B493&gt;=80,"A",B493&gt;=60,"B",B493&lt;60,"Pass",B493&lt;33,"Fail")</f>
        <v>Pass</v>
      </c>
    </row>
    <row r="494" spans="1:4">
      <c r="A494" t="s">
        <v>2015</v>
      </c>
      <c r="B494">
        <v>95</v>
      </c>
      <c r="C494" t="str">
        <f t="shared" si="7"/>
        <v>Pass</v>
      </c>
      <c r="D494" t="str" cm="1">
        <f t="array" ref="D494">_xlfn.IFS(B494&gt;=80,"A",B494&gt;=60,"B",B494&lt;60,"Pass",B494&lt;33,"Fail")</f>
        <v>A</v>
      </c>
    </row>
    <row r="495" spans="1:4">
      <c r="A495" t="s">
        <v>2016</v>
      </c>
      <c r="B495">
        <v>72</v>
      </c>
      <c r="C495" t="str">
        <f t="shared" si="7"/>
        <v>Pass</v>
      </c>
      <c r="D495" t="str" cm="1">
        <f t="array" ref="D495">_xlfn.IFS(B495&gt;=80,"A",B495&gt;=60,"B",B495&lt;60,"Pass",B495&lt;33,"Fail")</f>
        <v>B</v>
      </c>
    </row>
    <row r="496" spans="1:4">
      <c r="A496" t="s">
        <v>2017</v>
      </c>
      <c r="B496">
        <v>40</v>
      </c>
      <c r="C496" t="str">
        <f t="shared" si="7"/>
        <v>Pass</v>
      </c>
      <c r="D496" t="str" cm="1">
        <f t="array" ref="D496">_xlfn.IFS(B496&gt;=80,"A",B496&gt;=60,"B",B496&lt;60,"Pass",B496&lt;33,"Fail")</f>
        <v>Pass</v>
      </c>
    </row>
    <row r="497" spans="1:4">
      <c r="A497" t="s">
        <v>2018</v>
      </c>
      <c r="B497">
        <v>88</v>
      </c>
      <c r="C497" t="str">
        <f t="shared" si="7"/>
        <v>Pass</v>
      </c>
      <c r="D497" t="str" cm="1">
        <f t="array" ref="D497">_xlfn.IFS(B497&gt;=80,"A",B497&gt;=60,"B",B497&lt;60,"Pass",B497&lt;33,"Fail")</f>
        <v>A</v>
      </c>
    </row>
    <row r="498" spans="1:4">
      <c r="A498" t="s">
        <v>2019</v>
      </c>
      <c r="B498">
        <v>50</v>
      </c>
      <c r="C498" t="str">
        <f t="shared" si="7"/>
        <v>Pass</v>
      </c>
      <c r="D498" t="str" cm="1">
        <f t="array" ref="D498">_xlfn.IFS(B498&gt;=80,"A",B498&gt;=60,"B",B498&lt;60,"Pass",B498&lt;33,"Fail")</f>
        <v>Pass</v>
      </c>
    </row>
    <row r="499" spans="1:4">
      <c r="A499" t="s">
        <v>2020</v>
      </c>
      <c r="B499">
        <v>82</v>
      </c>
      <c r="C499" t="str">
        <f t="shared" si="7"/>
        <v>Pass</v>
      </c>
      <c r="D499" t="str" cm="1">
        <f t="array" ref="D499">_xlfn.IFS(B499&gt;=80,"A",B499&gt;=60,"B",B499&lt;60,"Pass",B499&lt;33,"Fail")</f>
        <v>A</v>
      </c>
    </row>
    <row r="500" spans="1:4">
      <c r="A500" t="s">
        <v>2021</v>
      </c>
      <c r="B500">
        <v>74</v>
      </c>
      <c r="C500" t="str">
        <f t="shared" si="7"/>
        <v>Pass</v>
      </c>
      <c r="D500" t="str" cm="1">
        <f t="array" ref="D500">_xlfn.IFS(B500&gt;=80,"A",B500&gt;=60,"B",B500&lt;60,"Pass",B500&lt;33,"Fail")</f>
        <v>B</v>
      </c>
    </row>
    <row r="501" spans="1:4">
      <c r="A501" t="s">
        <v>2022</v>
      </c>
      <c r="B501">
        <v>40</v>
      </c>
      <c r="C501" t="str">
        <f t="shared" si="7"/>
        <v>Pass</v>
      </c>
      <c r="D501" t="str" cm="1">
        <f t="array" ref="D501">_xlfn.IFS(B501&gt;=80,"A",B501&gt;=60,"B",B501&lt;60,"Pass",B501&lt;33,"Fail")</f>
        <v>Pass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I7" sqref="I7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2023</v>
      </c>
      <c r="B1" s="1" t="s">
        <v>2024</v>
      </c>
      <c r="C1" s="1" t="s">
        <v>2025</v>
      </c>
      <c r="D1" s="1" t="s">
        <v>2026</v>
      </c>
      <c r="E1" s="1" t="s">
        <v>2027</v>
      </c>
    </row>
    <row r="2" spans="1:5">
      <c r="A2" t="s">
        <v>2028</v>
      </c>
      <c r="B2" t="s">
        <v>2033</v>
      </c>
      <c r="C2">
        <v>928742</v>
      </c>
      <c r="D2">
        <v>33.9</v>
      </c>
      <c r="E2">
        <v>33106</v>
      </c>
    </row>
    <row r="3" spans="1:5">
      <c r="A3" t="s">
        <v>2029</v>
      </c>
      <c r="B3" t="s">
        <v>2034</v>
      </c>
      <c r="C3">
        <v>792410</v>
      </c>
      <c r="D3">
        <v>29.28</v>
      </c>
      <c r="E3">
        <v>19276</v>
      </c>
    </row>
    <row r="4" spans="1:5">
      <c r="A4" t="s">
        <v>2028</v>
      </c>
      <c r="B4" t="s">
        <v>2035</v>
      </c>
      <c r="C4">
        <v>486814</v>
      </c>
      <c r="D4">
        <v>85.73</v>
      </c>
      <c r="E4">
        <v>40590</v>
      </c>
    </row>
    <row r="5" spans="1:5">
      <c r="A5" t="s">
        <v>2030</v>
      </c>
      <c r="B5" t="s">
        <v>2036</v>
      </c>
      <c r="C5">
        <v>975409</v>
      </c>
      <c r="D5">
        <v>63.58</v>
      </c>
      <c r="E5">
        <v>17091</v>
      </c>
    </row>
    <row r="6" spans="1:5">
      <c r="A6" t="s">
        <v>2029</v>
      </c>
      <c r="B6" t="s">
        <v>2037</v>
      </c>
      <c r="C6">
        <v>184575</v>
      </c>
      <c r="D6">
        <v>81.11</v>
      </c>
      <c r="E6">
        <v>41129</v>
      </c>
    </row>
    <row r="7" spans="1:5">
      <c r="A7" t="s">
        <v>2031</v>
      </c>
      <c r="B7" t="s">
        <v>2038</v>
      </c>
      <c r="C7">
        <v>535253</v>
      </c>
      <c r="D7">
        <v>54.28</v>
      </c>
      <c r="E7">
        <v>42206</v>
      </c>
    </row>
    <row r="8" spans="1:5">
      <c r="A8" t="s">
        <v>2029</v>
      </c>
      <c r="B8" t="s">
        <v>2039</v>
      </c>
      <c r="C8">
        <v>527892</v>
      </c>
      <c r="D8">
        <v>54.43</v>
      </c>
      <c r="E8">
        <v>28881</v>
      </c>
    </row>
    <row r="9" spans="1:5">
      <c r="A9" t="s">
        <v>2029</v>
      </c>
      <c r="B9" t="s">
        <v>2040</v>
      </c>
      <c r="C9">
        <v>782794</v>
      </c>
      <c r="D9">
        <v>41.74</v>
      </c>
      <c r="E9">
        <v>45034</v>
      </c>
    </row>
    <row r="10" spans="1:5">
      <c r="A10" t="s">
        <v>2032</v>
      </c>
      <c r="B10" t="s">
        <v>2041</v>
      </c>
      <c r="C10">
        <v>211163</v>
      </c>
      <c r="D10">
        <v>43.35</v>
      </c>
      <c r="E10">
        <v>27695</v>
      </c>
    </row>
    <row r="11" spans="1:5">
      <c r="A11" t="s">
        <v>2032</v>
      </c>
      <c r="B11" t="s">
        <v>2042</v>
      </c>
      <c r="C11">
        <v>684807</v>
      </c>
      <c r="D11">
        <v>24.21</v>
      </c>
      <c r="E11">
        <v>16661</v>
      </c>
    </row>
    <row r="12" spans="1:5">
      <c r="A12" t="s">
        <v>2028</v>
      </c>
      <c r="B12" t="s">
        <v>2043</v>
      </c>
      <c r="C12">
        <v>417077</v>
      </c>
      <c r="D12">
        <v>65.650000000000006</v>
      </c>
      <c r="E12">
        <v>49298</v>
      </c>
    </row>
    <row r="13" spans="1:5">
      <c r="A13" t="s">
        <v>2029</v>
      </c>
      <c r="B13" t="s">
        <v>2044</v>
      </c>
      <c r="C13">
        <v>269230</v>
      </c>
      <c r="D13">
        <v>71.930000000000007</v>
      </c>
      <c r="E13">
        <v>7967</v>
      </c>
    </row>
    <row r="14" spans="1:5">
      <c r="A14" t="s">
        <v>2029</v>
      </c>
      <c r="B14" t="s">
        <v>2045</v>
      </c>
      <c r="C14">
        <v>729663</v>
      </c>
      <c r="D14">
        <v>20.03</v>
      </c>
      <c r="E14">
        <v>24325</v>
      </c>
    </row>
    <row r="15" spans="1:5">
      <c r="A15" t="s">
        <v>2028</v>
      </c>
      <c r="B15" t="s">
        <v>2046</v>
      </c>
      <c r="C15">
        <v>887011</v>
      </c>
      <c r="D15">
        <v>37.32</v>
      </c>
      <c r="E15">
        <v>12080</v>
      </c>
    </row>
    <row r="16" spans="1:5">
      <c r="A16" t="s">
        <v>2031</v>
      </c>
      <c r="B16" t="s">
        <v>2047</v>
      </c>
      <c r="C16">
        <v>660056</v>
      </c>
      <c r="D16">
        <v>77.489999999999995</v>
      </c>
      <c r="E16">
        <v>44327</v>
      </c>
    </row>
    <row r="17" spans="1:5">
      <c r="A17" t="s">
        <v>2030</v>
      </c>
      <c r="B17" t="s">
        <v>2048</v>
      </c>
      <c r="C17">
        <v>116460</v>
      </c>
      <c r="D17">
        <v>29.08</v>
      </c>
      <c r="E17">
        <v>29115</v>
      </c>
    </row>
    <row r="18" spans="1:5">
      <c r="A18" t="s">
        <v>2031</v>
      </c>
      <c r="B18" t="s">
        <v>2049</v>
      </c>
      <c r="C18">
        <v>335237</v>
      </c>
      <c r="D18">
        <v>65.91</v>
      </c>
      <c r="E18">
        <v>38138</v>
      </c>
    </row>
    <row r="19" spans="1:5">
      <c r="A19" t="s">
        <v>2029</v>
      </c>
      <c r="B19" t="s">
        <v>2050</v>
      </c>
      <c r="C19">
        <v>744405</v>
      </c>
      <c r="D19">
        <v>40.18</v>
      </c>
      <c r="E19">
        <v>12777</v>
      </c>
    </row>
    <row r="20" spans="1:5">
      <c r="A20" t="s">
        <v>2031</v>
      </c>
      <c r="B20" t="s">
        <v>2051</v>
      </c>
      <c r="C20">
        <v>496248</v>
      </c>
      <c r="D20">
        <v>51.09</v>
      </c>
      <c r="E20">
        <v>27204</v>
      </c>
    </row>
    <row r="21" spans="1:5">
      <c r="A21" t="s">
        <v>2028</v>
      </c>
      <c r="B21" t="s">
        <v>2052</v>
      </c>
      <c r="C21">
        <v>161415</v>
      </c>
      <c r="D21">
        <v>41.95</v>
      </c>
      <c r="E21">
        <v>23646</v>
      </c>
    </row>
    <row r="22" spans="1:5">
      <c r="A22" t="s">
        <v>2032</v>
      </c>
      <c r="B22" t="s">
        <v>2053</v>
      </c>
      <c r="C22">
        <v>544642</v>
      </c>
      <c r="D22">
        <v>64.95</v>
      </c>
      <c r="E22">
        <v>10812</v>
      </c>
    </row>
    <row r="23" spans="1:5">
      <c r="A23" t="s">
        <v>2032</v>
      </c>
      <c r="B23" t="s">
        <v>2054</v>
      </c>
      <c r="C23">
        <v>135691</v>
      </c>
      <c r="D23">
        <v>69.069999999999993</v>
      </c>
      <c r="E23">
        <v>17162</v>
      </c>
    </row>
    <row r="24" spans="1:5">
      <c r="A24" t="s">
        <v>2029</v>
      </c>
      <c r="B24" t="s">
        <v>2055</v>
      </c>
      <c r="C24">
        <v>910563</v>
      </c>
      <c r="D24">
        <v>68.56</v>
      </c>
      <c r="E24">
        <v>19004</v>
      </c>
    </row>
    <row r="25" spans="1:5">
      <c r="A25" t="s">
        <v>2029</v>
      </c>
      <c r="B25" t="s">
        <v>2056</v>
      </c>
      <c r="C25">
        <v>292072</v>
      </c>
      <c r="D25">
        <v>22.16</v>
      </c>
      <c r="E25">
        <v>23327</v>
      </c>
    </row>
    <row r="26" spans="1:5">
      <c r="A26" t="s">
        <v>2028</v>
      </c>
      <c r="B26" t="s">
        <v>2057</v>
      </c>
      <c r="C26">
        <v>527356</v>
      </c>
      <c r="D26">
        <v>69.099999999999994</v>
      </c>
      <c r="E26">
        <v>49290</v>
      </c>
    </row>
    <row r="27" spans="1:5">
      <c r="A27" t="s">
        <v>2031</v>
      </c>
      <c r="B27" t="s">
        <v>2058</v>
      </c>
      <c r="C27">
        <v>154558</v>
      </c>
      <c r="D27">
        <v>48.2</v>
      </c>
      <c r="E27">
        <v>23353</v>
      </c>
    </row>
    <row r="28" spans="1:5">
      <c r="A28" t="s">
        <v>2029</v>
      </c>
      <c r="B28" t="s">
        <v>2059</v>
      </c>
      <c r="C28">
        <v>531712</v>
      </c>
      <c r="D28">
        <v>59.27</v>
      </c>
      <c r="E28">
        <v>38300</v>
      </c>
    </row>
    <row r="29" spans="1:5">
      <c r="A29" t="s">
        <v>2032</v>
      </c>
      <c r="B29" t="s">
        <v>2060</v>
      </c>
      <c r="C29">
        <v>855751</v>
      </c>
      <c r="D29">
        <v>41.93</v>
      </c>
      <c r="E29">
        <v>24673</v>
      </c>
    </row>
    <row r="30" spans="1:5">
      <c r="A30" t="s">
        <v>2031</v>
      </c>
      <c r="B30" t="s">
        <v>2061</v>
      </c>
      <c r="C30">
        <v>745697</v>
      </c>
      <c r="D30">
        <v>31.27</v>
      </c>
      <c r="E30">
        <v>10539</v>
      </c>
    </row>
    <row r="31" spans="1:5">
      <c r="A31" t="s">
        <v>2028</v>
      </c>
      <c r="B31" t="s">
        <v>2062</v>
      </c>
      <c r="C31">
        <v>272204</v>
      </c>
      <c r="D31">
        <v>42.87</v>
      </c>
      <c r="E31">
        <v>25428</v>
      </c>
    </row>
    <row r="32" spans="1:5">
      <c r="A32" t="s">
        <v>2029</v>
      </c>
      <c r="B32" t="s">
        <v>2063</v>
      </c>
      <c r="C32">
        <v>102705</v>
      </c>
      <c r="D32">
        <v>25.25</v>
      </c>
      <c r="E32">
        <v>4564</v>
      </c>
    </row>
    <row r="33" spans="1:5">
      <c r="A33" t="s">
        <v>2031</v>
      </c>
      <c r="B33" t="s">
        <v>2064</v>
      </c>
      <c r="C33">
        <v>563814</v>
      </c>
      <c r="D33">
        <v>66.19</v>
      </c>
      <c r="E33">
        <v>37288</v>
      </c>
    </row>
    <row r="34" spans="1:5">
      <c r="A34" t="s">
        <v>2032</v>
      </c>
      <c r="B34" t="s">
        <v>2065</v>
      </c>
      <c r="C34">
        <v>571774</v>
      </c>
      <c r="D34">
        <v>51.06</v>
      </c>
      <c r="E34">
        <v>23656</v>
      </c>
    </row>
    <row r="35" spans="1:5">
      <c r="A35" t="s">
        <v>2030</v>
      </c>
      <c r="B35" t="s">
        <v>2066</v>
      </c>
      <c r="C35">
        <v>209191</v>
      </c>
      <c r="D35">
        <v>58.87</v>
      </c>
      <c r="E35">
        <v>6417</v>
      </c>
    </row>
    <row r="36" spans="1:5">
      <c r="A36" t="s">
        <v>2029</v>
      </c>
      <c r="B36" t="s">
        <v>2067</v>
      </c>
      <c r="C36">
        <v>392779</v>
      </c>
      <c r="D36">
        <v>85.51</v>
      </c>
      <c r="E36">
        <v>44873</v>
      </c>
    </row>
    <row r="37" spans="1:5">
      <c r="A37" t="s">
        <v>2030</v>
      </c>
      <c r="B37" t="s">
        <v>2068</v>
      </c>
      <c r="C37">
        <v>356243</v>
      </c>
      <c r="D37">
        <v>26.05</v>
      </c>
      <c r="E37">
        <v>40929</v>
      </c>
    </row>
    <row r="38" spans="1:5">
      <c r="A38" t="s">
        <v>2030</v>
      </c>
      <c r="B38" t="s">
        <v>2069</v>
      </c>
      <c r="C38">
        <v>320579</v>
      </c>
      <c r="D38">
        <v>24.61</v>
      </c>
      <c r="E38">
        <v>13806</v>
      </c>
    </row>
    <row r="39" spans="1:5">
      <c r="A39" t="s">
        <v>2028</v>
      </c>
      <c r="B39" t="s">
        <v>2070</v>
      </c>
      <c r="C39">
        <v>294338</v>
      </c>
      <c r="D39">
        <v>61.23</v>
      </c>
      <c r="E39">
        <v>39211</v>
      </c>
    </row>
    <row r="40" spans="1:5">
      <c r="A40" t="s">
        <v>2032</v>
      </c>
      <c r="B40" t="s">
        <v>2071</v>
      </c>
      <c r="C40">
        <v>536353</v>
      </c>
      <c r="D40">
        <v>43.75</v>
      </c>
      <c r="E40">
        <v>4972</v>
      </c>
    </row>
    <row r="41" spans="1:5">
      <c r="A41" t="s">
        <v>2030</v>
      </c>
      <c r="B41" t="s">
        <v>2072</v>
      </c>
      <c r="C41">
        <v>487789</v>
      </c>
      <c r="D41">
        <v>59.86</v>
      </c>
      <c r="E41">
        <v>9148</v>
      </c>
    </row>
    <row r="42" spans="1:5">
      <c r="A42" t="s">
        <v>2030</v>
      </c>
      <c r="B42" t="s">
        <v>2073</v>
      </c>
      <c r="C42">
        <v>189477</v>
      </c>
      <c r="D42">
        <v>49.25</v>
      </c>
      <c r="E42">
        <v>6494</v>
      </c>
    </row>
    <row r="43" spans="1:5">
      <c r="A43" t="s">
        <v>2029</v>
      </c>
      <c r="B43" t="s">
        <v>2074</v>
      </c>
      <c r="C43">
        <v>516215</v>
      </c>
      <c r="D43">
        <v>70.61</v>
      </c>
      <c r="E43">
        <v>9532</v>
      </c>
    </row>
    <row r="44" spans="1:5">
      <c r="A44" t="s">
        <v>2028</v>
      </c>
      <c r="B44" t="s">
        <v>2075</v>
      </c>
      <c r="C44">
        <v>997515</v>
      </c>
      <c r="D44">
        <v>51.48</v>
      </c>
      <c r="E44">
        <v>37643</v>
      </c>
    </row>
    <row r="45" spans="1:5">
      <c r="A45" t="s">
        <v>2030</v>
      </c>
      <c r="B45" t="s">
        <v>2076</v>
      </c>
      <c r="C45">
        <v>322672</v>
      </c>
      <c r="D45">
        <v>46.45</v>
      </c>
      <c r="E45">
        <v>18041</v>
      </c>
    </row>
    <row r="46" spans="1:5">
      <c r="A46" t="s">
        <v>2032</v>
      </c>
      <c r="B46" t="s">
        <v>2077</v>
      </c>
      <c r="C46">
        <v>277837</v>
      </c>
      <c r="D46">
        <v>21.86</v>
      </c>
      <c r="E46">
        <v>38409</v>
      </c>
    </row>
    <row r="47" spans="1:5">
      <c r="A47" t="s">
        <v>2030</v>
      </c>
      <c r="B47" t="s">
        <v>2078</v>
      </c>
      <c r="C47">
        <v>913388</v>
      </c>
      <c r="D47">
        <v>56.86</v>
      </c>
      <c r="E47">
        <v>16466</v>
      </c>
    </row>
    <row r="48" spans="1:5">
      <c r="A48" t="s">
        <v>2030</v>
      </c>
      <c r="B48" t="s">
        <v>2079</v>
      </c>
      <c r="C48">
        <v>940810</v>
      </c>
      <c r="D48">
        <v>38.75</v>
      </c>
      <c r="E48">
        <v>36869</v>
      </c>
    </row>
    <row r="49" spans="1:5">
      <c r="A49" t="s">
        <v>2030</v>
      </c>
      <c r="B49" t="s">
        <v>2080</v>
      </c>
      <c r="C49">
        <v>685895</v>
      </c>
      <c r="D49">
        <v>47.3</v>
      </c>
      <c r="E49">
        <v>27760</v>
      </c>
    </row>
    <row r="50" spans="1:5">
      <c r="A50" t="s">
        <v>2029</v>
      </c>
      <c r="B50" t="s">
        <v>2081</v>
      </c>
      <c r="C50">
        <v>485546</v>
      </c>
      <c r="D50">
        <v>36.18</v>
      </c>
      <c r="E50">
        <v>40266</v>
      </c>
    </row>
    <row r="51" spans="1:5">
      <c r="A51" t="s">
        <v>2032</v>
      </c>
      <c r="B51" t="s">
        <v>2082</v>
      </c>
      <c r="C51">
        <v>837114</v>
      </c>
      <c r="D51">
        <v>65.87</v>
      </c>
      <c r="E51">
        <v>31754</v>
      </c>
    </row>
    <row r="52" spans="1:5">
      <c r="A52" t="s">
        <v>2028</v>
      </c>
      <c r="B52" t="s">
        <v>2083</v>
      </c>
      <c r="C52">
        <v>763036</v>
      </c>
      <c r="D52">
        <v>82.56</v>
      </c>
      <c r="E52">
        <v>10041</v>
      </c>
    </row>
    <row r="53" spans="1:5">
      <c r="A53" t="s">
        <v>2031</v>
      </c>
      <c r="B53" t="s">
        <v>2084</v>
      </c>
      <c r="C53">
        <v>143848</v>
      </c>
      <c r="D53">
        <v>20.14</v>
      </c>
      <c r="E53">
        <v>48069</v>
      </c>
    </row>
    <row r="54" spans="1:5">
      <c r="A54" t="s">
        <v>2031</v>
      </c>
      <c r="B54" t="s">
        <v>2085</v>
      </c>
      <c r="C54">
        <v>717361</v>
      </c>
      <c r="D54">
        <v>46.38</v>
      </c>
      <c r="E54">
        <v>33007</v>
      </c>
    </row>
    <row r="55" spans="1:5">
      <c r="A55" t="s">
        <v>2032</v>
      </c>
      <c r="B55" t="s">
        <v>2086</v>
      </c>
      <c r="C55">
        <v>560411</v>
      </c>
      <c r="D55">
        <v>27.99</v>
      </c>
      <c r="E55">
        <v>7197</v>
      </c>
    </row>
    <row r="56" spans="1:5">
      <c r="A56" t="s">
        <v>2031</v>
      </c>
      <c r="B56" t="s">
        <v>2087</v>
      </c>
      <c r="C56">
        <v>237453</v>
      </c>
      <c r="D56">
        <v>20.45</v>
      </c>
      <c r="E56">
        <v>32085</v>
      </c>
    </row>
    <row r="57" spans="1:5">
      <c r="A57" t="s">
        <v>2032</v>
      </c>
      <c r="B57" t="s">
        <v>2088</v>
      </c>
      <c r="C57">
        <v>613708</v>
      </c>
      <c r="D57">
        <v>61.93</v>
      </c>
      <c r="E57">
        <v>44971</v>
      </c>
    </row>
    <row r="58" spans="1:5">
      <c r="A58" t="s">
        <v>2029</v>
      </c>
      <c r="B58" t="s">
        <v>2089</v>
      </c>
      <c r="C58">
        <v>123366</v>
      </c>
      <c r="D58">
        <v>78.900000000000006</v>
      </c>
      <c r="E58">
        <v>28125</v>
      </c>
    </row>
    <row r="59" spans="1:5">
      <c r="A59" t="s">
        <v>2028</v>
      </c>
      <c r="B59" t="s">
        <v>2090</v>
      </c>
      <c r="C59">
        <v>806464</v>
      </c>
      <c r="D59">
        <v>78.849999999999994</v>
      </c>
      <c r="E59">
        <v>29065</v>
      </c>
    </row>
    <row r="60" spans="1:5">
      <c r="A60" t="s">
        <v>2030</v>
      </c>
      <c r="B60" t="s">
        <v>2091</v>
      </c>
      <c r="C60">
        <v>508152</v>
      </c>
      <c r="D60">
        <v>37.380000000000003</v>
      </c>
      <c r="E60">
        <v>39177</v>
      </c>
    </row>
    <row r="61" spans="1:5">
      <c r="A61" t="s">
        <v>2029</v>
      </c>
      <c r="B61" t="s">
        <v>2092</v>
      </c>
      <c r="C61">
        <v>455496</v>
      </c>
      <c r="D61">
        <v>54.83</v>
      </c>
      <c r="E61">
        <v>22223</v>
      </c>
    </row>
    <row r="62" spans="1:5">
      <c r="A62" t="s">
        <v>2031</v>
      </c>
      <c r="B62" t="s">
        <v>2093</v>
      </c>
      <c r="C62">
        <v>204938</v>
      </c>
      <c r="D62">
        <v>77.95</v>
      </c>
      <c r="E62">
        <v>35587</v>
      </c>
    </row>
    <row r="63" spans="1:5">
      <c r="A63" t="s">
        <v>2028</v>
      </c>
      <c r="B63" t="s">
        <v>2094</v>
      </c>
      <c r="C63">
        <v>937208</v>
      </c>
      <c r="D63">
        <v>22.99</v>
      </c>
      <c r="E63">
        <v>13837</v>
      </c>
    </row>
    <row r="64" spans="1:5">
      <c r="A64" t="s">
        <v>2032</v>
      </c>
      <c r="B64" t="s">
        <v>2095</v>
      </c>
      <c r="C64">
        <v>355034</v>
      </c>
      <c r="D64">
        <v>41.84</v>
      </c>
      <c r="E64">
        <v>27451</v>
      </c>
    </row>
    <row r="65" spans="1:5">
      <c r="A65" t="s">
        <v>2031</v>
      </c>
      <c r="B65" t="s">
        <v>2096</v>
      </c>
      <c r="C65">
        <v>482153</v>
      </c>
      <c r="D65">
        <v>25.12</v>
      </c>
      <c r="E65">
        <v>20902</v>
      </c>
    </row>
    <row r="66" spans="1:5">
      <c r="A66" t="s">
        <v>2030</v>
      </c>
      <c r="B66" t="s">
        <v>2097</v>
      </c>
      <c r="C66">
        <v>489152</v>
      </c>
      <c r="D66">
        <v>44.78</v>
      </c>
      <c r="E66">
        <v>45086</v>
      </c>
    </row>
    <row r="67" spans="1:5">
      <c r="A67" t="s">
        <v>2029</v>
      </c>
      <c r="B67" t="s">
        <v>2098</v>
      </c>
      <c r="C67">
        <v>453663</v>
      </c>
      <c r="D67">
        <v>69.010000000000005</v>
      </c>
      <c r="E67">
        <v>32642</v>
      </c>
    </row>
    <row r="68" spans="1:5">
      <c r="A68" t="s">
        <v>2029</v>
      </c>
      <c r="B68" t="s">
        <v>2099</v>
      </c>
      <c r="C68">
        <v>400757</v>
      </c>
      <c r="D68">
        <v>32.61</v>
      </c>
      <c r="E68">
        <v>31049</v>
      </c>
    </row>
    <row r="69" spans="1:5">
      <c r="A69" t="s">
        <v>2029</v>
      </c>
      <c r="B69" t="s">
        <v>2100</v>
      </c>
      <c r="C69">
        <v>859749</v>
      </c>
      <c r="D69">
        <v>22.56</v>
      </c>
      <c r="E69">
        <v>13620</v>
      </c>
    </row>
    <row r="70" spans="1:5">
      <c r="A70" t="s">
        <v>2028</v>
      </c>
      <c r="B70" t="s">
        <v>2101</v>
      </c>
      <c r="C70">
        <v>311358</v>
      </c>
      <c r="D70">
        <v>80.55</v>
      </c>
      <c r="E70">
        <v>2128</v>
      </c>
    </row>
    <row r="71" spans="1:5">
      <c r="A71" t="s">
        <v>2032</v>
      </c>
      <c r="B71" t="s">
        <v>2102</v>
      </c>
      <c r="C71">
        <v>954540</v>
      </c>
      <c r="D71">
        <v>29.75</v>
      </c>
      <c r="E71">
        <v>31040</v>
      </c>
    </row>
    <row r="72" spans="1:5">
      <c r="A72" t="s">
        <v>2028</v>
      </c>
      <c r="B72" t="s">
        <v>2103</v>
      </c>
      <c r="C72">
        <v>485820</v>
      </c>
      <c r="D72">
        <v>59.34</v>
      </c>
      <c r="E72">
        <v>47903</v>
      </c>
    </row>
    <row r="73" spans="1:5">
      <c r="A73" t="s">
        <v>2028</v>
      </c>
      <c r="B73" t="s">
        <v>2104</v>
      </c>
      <c r="C73">
        <v>233485</v>
      </c>
      <c r="D73">
        <v>84.59</v>
      </c>
      <c r="E73">
        <v>44562</v>
      </c>
    </row>
    <row r="74" spans="1:5">
      <c r="A74" t="s">
        <v>2032</v>
      </c>
      <c r="B74" t="s">
        <v>2105</v>
      </c>
      <c r="C74">
        <v>987774</v>
      </c>
      <c r="D74">
        <v>69.680000000000007</v>
      </c>
      <c r="E74">
        <v>48429</v>
      </c>
    </row>
    <row r="75" spans="1:5">
      <c r="A75" t="s">
        <v>2032</v>
      </c>
      <c r="B75" t="s">
        <v>2106</v>
      </c>
      <c r="C75">
        <v>186359</v>
      </c>
      <c r="D75">
        <v>76.53</v>
      </c>
      <c r="E75">
        <v>27475</v>
      </c>
    </row>
    <row r="76" spans="1:5">
      <c r="A76" t="s">
        <v>2029</v>
      </c>
      <c r="B76" t="s">
        <v>2107</v>
      </c>
      <c r="C76">
        <v>361330</v>
      </c>
      <c r="D76">
        <v>68.64</v>
      </c>
      <c r="E76">
        <v>42070</v>
      </c>
    </row>
    <row r="77" spans="1:5">
      <c r="A77" t="s">
        <v>2031</v>
      </c>
      <c r="B77" t="s">
        <v>2108</v>
      </c>
      <c r="C77">
        <v>761569</v>
      </c>
      <c r="D77">
        <v>52.41</v>
      </c>
      <c r="E77">
        <v>45298</v>
      </c>
    </row>
    <row r="78" spans="1:5">
      <c r="A78" t="s">
        <v>2031</v>
      </c>
      <c r="B78" t="s">
        <v>2109</v>
      </c>
      <c r="C78">
        <v>470553</v>
      </c>
      <c r="D78">
        <v>75.39</v>
      </c>
      <c r="E78">
        <v>1800</v>
      </c>
    </row>
    <row r="79" spans="1:5">
      <c r="A79" t="s">
        <v>2030</v>
      </c>
      <c r="B79" t="s">
        <v>2110</v>
      </c>
      <c r="C79">
        <v>804490</v>
      </c>
      <c r="D79">
        <v>34.54</v>
      </c>
      <c r="E79">
        <v>1409</v>
      </c>
    </row>
    <row r="80" spans="1:5">
      <c r="A80" t="s">
        <v>2032</v>
      </c>
      <c r="B80" t="s">
        <v>2111</v>
      </c>
      <c r="C80">
        <v>468164</v>
      </c>
      <c r="D80">
        <v>84.44</v>
      </c>
      <c r="E80">
        <v>8770</v>
      </c>
    </row>
    <row r="81" spans="1:5">
      <c r="A81" t="s">
        <v>2032</v>
      </c>
      <c r="B81" t="s">
        <v>2112</v>
      </c>
      <c r="C81">
        <v>262772</v>
      </c>
      <c r="D81">
        <v>34.28</v>
      </c>
      <c r="E81">
        <v>19375</v>
      </c>
    </row>
    <row r="82" spans="1:5">
      <c r="A82" t="s">
        <v>2032</v>
      </c>
      <c r="B82" t="s">
        <v>2113</v>
      </c>
      <c r="C82">
        <v>229267</v>
      </c>
      <c r="D82">
        <v>44.99</v>
      </c>
      <c r="E82">
        <v>47709</v>
      </c>
    </row>
    <row r="83" spans="1:5">
      <c r="A83" t="s">
        <v>2028</v>
      </c>
      <c r="B83" t="s">
        <v>2114</v>
      </c>
      <c r="C83">
        <v>364414</v>
      </c>
      <c r="D83">
        <v>67.08</v>
      </c>
      <c r="E83">
        <v>15143</v>
      </c>
    </row>
    <row r="84" spans="1:5">
      <c r="A84" t="s">
        <v>2030</v>
      </c>
      <c r="B84" t="s">
        <v>2115</v>
      </c>
      <c r="C84">
        <v>821102</v>
      </c>
      <c r="D84">
        <v>78.91</v>
      </c>
      <c r="E84">
        <v>24272</v>
      </c>
    </row>
    <row r="85" spans="1:5">
      <c r="A85" t="s">
        <v>2031</v>
      </c>
      <c r="B85" t="s">
        <v>2116</v>
      </c>
      <c r="C85">
        <v>180386</v>
      </c>
      <c r="D85">
        <v>28.12</v>
      </c>
      <c r="E85">
        <v>34187</v>
      </c>
    </row>
    <row r="86" spans="1:5">
      <c r="A86" t="s">
        <v>2031</v>
      </c>
      <c r="B86" t="s">
        <v>2117</v>
      </c>
      <c r="C86">
        <v>465768</v>
      </c>
      <c r="D86">
        <v>67.11</v>
      </c>
      <c r="E86">
        <v>41708</v>
      </c>
    </row>
    <row r="87" spans="1:5">
      <c r="A87" t="s">
        <v>2029</v>
      </c>
      <c r="B87" t="s">
        <v>2118</v>
      </c>
      <c r="C87">
        <v>954671</v>
      </c>
      <c r="D87">
        <v>86.84</v>
      </c>
      <c r="E87">
        <v>41955</v>
      </c>
    </row>
    <row r="88" spans="1:5">
      <c r="A88" t="s">
        <v>2030</v>
      </c>
      <c r="B88" t="s">
        <v>2119</v>
      </c>
      <c r="C88">
        <v>466394</v>
      </c>
      <c r="D88">
        <v>84.04</v>
      </c>
      <c r="E88">
        <v>38789</v>
      </c>
    </row>
    <row r="89" spans="1:5">
      <c r="A89" t="s">
        <v>2029</v>
      </c>
      <c r="B89" t="s">
        <v>2120</v>
      </c>
      <c r="C89">
        <v>425786</v>
      </c>
      <c r="D89">
        <v>21.64</v>
      </c>
      <c r="E89">
        <v>10557</v>
      </c>
    </row>
    <row r="90" spans="1:5">
      <c r="A90" t="s">
        <v>2031</v>
      </c>
      <c r="B90" t="s">
        <v>2121</v>
      </c>
      <c r="C90">
        <v>533680</v>
      </c>
      <c r="D90">
        <v>58.1</v>
      </c>
      <c r="E90">
        <v>3971</v>
      </c>
    </row>
    <row r="91" spans="1:5">
      <c r="A91" t="s">
        <v>2031</v>
      </c>
      <c r="B91" t="s">
        <v>2122</v>
      </c>
      <c r="C91">
        <v>446250</v>
      </c>
      <c r="D91">
        <v>71.28</v>
      </c>
      <c r="E91">
        <v>19197</v>
      </c>
    </row>
    <row r="92" spans="1:5">
      <c r="A92" t="s">
        <v>2029</v>
      </c>
      <c r="B92" t="s">
        <v>2123</v>
      </c>
      <c r="C92">
        <v>641582</v>
      </c>
      <c r="D92">
        <v>32.409999999999997</v>
      </c>
      <c r="E92">
        <v>21363</v>
      </c>
    </row>
    <row r="93" spans="1:5">
      <c r="A93" t="s">
        <v>2028</v>
      </c>
      <c r="B93" t="s">
        <v>2124</v>
      </c>
      <c r="C93">
        <v>441659</v>
      </c>
      <c r="D93">
        <v>27.7</v>
      </c>
      <c r="E93">
        <v>47120</v>
      </c>
    </row>
    <row r="94" spans="1:5">
      <c r="A94" t="s">
        <v>2030</v>
      </c>
      <c r="B94" t="s">
        <v>2125</v>
      </c>
      <c r="C94">
        <v>549115</v>
      </c>
      <c r="D94">
        <v>20.03</v>
      </c>
      <c r="E94">
        <v>12818</v>
      </c>
    </row>
    <row r="95" spans="1:5">
      <c r="A95" t="s">
        <v>2028</v>
      </c>
      <c r="B95" t="s">
        <v>2126</v>
      </c>
      <c r="C95">
        <v>350998</v>
      </c>
      <c r="D95">
        <v>35.54</v>
      </c>
      <c r="E95">
        <v>27078</v>
      </c>
    </row>
    <row r="96" spans="1:5">
      <c r="A96" t="s">
        <v>2030</v>
      </c>
      <c r="B96" t="s">
        <v>2127</v>
      </c>
      <c r="C96">
        <v>627580</v>
      </c>
      <c r="D96">
        <v>64.19</v>
      </c>
      <c r="E96">
        <v>12705</v>
      </c>
    </row>
    <row r="97" spans="1:5">
      <c r="A97" t="s">
        <v>2028</v>
      </c>
      <c r="B97" t="s">
        <v>2128</v>
      </c>
      <c r="C97">
        <v>695330</v>
      </c>
      <c r="D97">
        <v>23.02</v>
      </c>
      <c r="E97">
        <v>47606</v>
      </c>
    </row>
    <row r="98" spans="1:5">
      <c r="A98" t="s">
        <v>2030</v>
      </c>
      <c r="B98" t="s">
        <v>2129</v>
      </c>
      <c r="C98">
        <v>386493</v>
      </c>
      <c r="D98">
        <v>44.87</v>
      </c>
      <c r="E98">
        <v>22932</v>
      </c>
    </row>
    <row r="99" spans="1:5">
      <c r="A99" t="s">
        <v>2032</v>
      </c>
      <c r="B99" t="s">
        <v>2130</v>
      </c>
      <c r="C99">
        <v>662491</v>
      </c>
      <c r="D99">
        <v>51.28</v>
      </c>
      <c r="E99">
        <v>18912</v>
      </c>
    </row>
    <row r="100" spans="1:5">
      <c r="A100" t="s">
        <v>2032</v>
      </c>
      <c r="B100" t="s">
        <v>2131</v>
      </c>
      <c r="C100">
        <v>530437</v>
      </c>
      <c r="D100">
        <v>73.94</v>
      </c>
      <c r="E100">
        <v>10558</v>
      </c>
    </row>
    <row r="101" spans="1:5">
      <c r="A101" t="s">
        <v>2032</v>
      </c>
      <c r="B101" t="s">
        <v>2132</v>
      </c>
      <c r="C101">
        <v>232519</v>
      </c>
      <c r="D101">
        <v>22.1</v>
      </c>
      <c r="E101">
        <v>32381</v>
      </c>
    </row>
    <row r="102" spans="1:5">
      <c r="A102" t="s">
        <v>2032</v>
      </c>
      <c r="B102" t="s">
        <v>2133</v>
      </c>
      <c r="C102">
        <v>720129</v>
      </c>
      <c r="D102">
        <v>26.96</v>
      </c>
      <c r="E102">
        <v>22650</v>
      </c>
    </row>
    <row r="103" spans="1:5">
      <c r="A103" t="s">
        <v>2031</v>
      </c>
      <c r="B103" t="s">
        <v>2134</v>
      </c>
      <c r="C103">
        <v>716238</v>
      </c>
      <c r="D103">
        <v>31.5</v>
      </c>
      <c r="E103">
        <v>34395</v>
      </c>
    </row>
    <row r="104" spans="1:5">
      <c r="A104" t="s">
        <v>2028</v>
      </c>
      <c r="B104" t="s">
        <v>2135</v>
      </c>
      <c r="C104">
        <v>434933</v>
      </c>
      <c r="D104">
        <v>34.25</v>
      </c>
      <c r="E104">
        <v>32446</v>
      </c>
    </row>
    <row r="105" spans="1:5">
      <c r="A105" t="s">
        <v>2031</v>
      </c>
      <c r="B105" t="s">
        <v>2136</v>
      </c>
      <c r="C105">
        <v>309254</v>
      </c>
      <c r="D105">
        <v>55.41</v>
      </c>
      <c r="E105">
        <v>32223</v>
      </c>
    </row>
    <row r="106" spans="1:5">
      <c r="A106" t="s">
        <v>2032</v>
      </c>
      <c r="B106" t="s">
        <v>2137</v>
      </c>
      <c r="C106">
        <v>884916</v>
      </c>
      <c r="D106">
        <v>32.9</v>
      </c>
      <c r="E106">
        <v>26278</v>
      </c>
    </row>
    <row r="107" spans="1:5">
      <c r="A107" t="s">
        <v>2031</v>
      </c>
      <c r="B107" t="s">
        <v>2138</v>
      </c>
      <c r="C107">
        <v>980984</v>
      </c>
      <c r="D107">
        <v>49.85</v>
      </c>
      <c r="E107">
        <v>3598</v>
      </c>
    </row>
    <row r="108" spans="1:5">
      <c r="A108" t="s">
        <v>2028</v>
      </c>
      <c r="B108" t="s">
        <v>2139</v>
      </c>
      <c r="C108">
        <v>875309</v>
      </c>
      <c r="D108">
        <v>76.67</v>
      </c>
      <c r="E108">
        <v>29660</v>
      </c>
    </row>
    <row r="109" spans="1:5">
      <c r="A109" t="s">
        <v>2029</v>
      </c>
      <c r="B109" t="s">
        <v>2140</v>
      </c>
      <c r="C109">
        <v>931897</v>
      </c>
      <c r="D109">
        <v>23.31</v>
      </c>
      <c r="E109">
        <v>5016</v>
      </c>
    </row>
    <row r="110" spans="1:5">
      <c r="A110" t="s">
        <v>2028</v>
      </c>
      <c r="B110" t="s">
        <v>2141</v>
      </c>
      <c r="C110">
        <v>771851</v>
      </c>
      <c r="D110">
        <v>47.79</v>
      </c>
      <c r="E110">
        <v>5814</v>
      </c>
    </row>
    <row r="111" spans="1:5">
      <c r="A111" t="s">
        <v>2029</v>
      </c>
      <c r="B111" t="s">
        <v>2142</v>
      </c>
      <c r="C111">
        <v>148147</v>
      </c>
      <c r="D111">
        <v>67.53</v>
      </c>
      <c r="E111">
        <v>5285</v>
      </c>
    </row>
    <row r="112" spans="1:5">
      <c r="A112" t="s">
        <v>2028</v>
      </c>
      <c r="B112" t="s">
        <v>2143</v>
      </c>
      <c r="C112">
        <v>310034</v>
      </c>
      <c r="D112">
        <v>44.77</v>
      </c>
      <c r="E112">
        <v>5750</v>
      </c>
    </row>
    <row r="113" spans="1:5">
      <c r="A113" t="s">
        <v>2028</v>
      </c>
      <c r="B113" t="s">
        <v>2144</v>
      </c>
      <c r="C113">
        <v>247281</v>
      </c>
      <c r="D113">
        <v>43.43</v>
      </c>
      <c r="E113">
        <v>14530</v>
      </c>
    </row>
    <row r="114" spans="1:5">
      <c r="A114" t="s">
        <v>2032</v>
      </c>
      <c r="B114" t="s">
        <v>2145</v>
      </c>
      <c r="C114">
        <v>178152</v>
      </c>
      <c r="D114">
        <v>44.9</v>
      </c>
      <c r="E114">
        <v>43733</v>
      </c>
    </row>
    <row r="115" spans="1:5">
      <c r="A115" t="s">
        <v>2032</v>
      </c>
      <c r="B115" t="s">
        <v>2146</v>
      </c>
      <c r="C115">
        <v>444145</v>
      </c>
      <c r="D115">
        <v>42</v>
      </c>
      <c r="E115">
        <v>49386</v>
      </c>
    </row>
    <row r="116" spans="1:5">
      <c r="A116" t="s">
        <v>2031</v>
      </c>
      <c r="B116" t="s">
        <v>2147</v>
      </c>
      <c r="C116">
        <v>505228</v>
      </c>
      <c r="D116">
        <v>20.51</v>
      </c>
      <c r="E116">
        <v>20935</v>
      </c>
    </row>
    <row r="117" spans="1:5">
      <c r="A117" t="s">
        <v>2028</v>
      </c>
      <c r="B117" t="s">
        <v>2148</v>
      </c>
      <c r="C117">
        <v>749846</v>
      </c>
      <c r="D117">
        <v>39.1</v>
      </c>
      <c r="E117">
        <v>14944</v>
      </c>
    </row>
    <row r="118" spans="1:5">
      <c r="A118" t="s">
        <v>2032</v>
      </c>
      <c r="B118" t="s">
        <v>2149</v>
      </c>
      <c r="C118">
        <v>313882</v>
      </c>
      <c r="D118">
        <v>87.79</v>
      </c>
      <c r="E118">
        <v>41184</v>
      </c>
    </row>
    <row r="119" spans="1:5">
      <c r="A119" t="s">
        <v>2028</v>
      </c>
      <c r="B119" t="s">
        <v>2150</v>
      </c>
      <c r="C119">
        <v>120845</v>
      </c>
      <c r="D119">
        <v>45.02</v>
      </c>
      <c r="E119">
        <v>35269</v>
      </c>
    </row>
    <row r="120" spans="1:5">
      <c r="A120" t="s">
        <v>2030</v>
      </c>
      <c r="B120" t="s">
        <v>2151</v>
      </c>
      <c r="C120">
        <v>616536</v>
      </c>
      <c r="D120">
        <v>50.08</v>
      </c>
      <c r="E120">
        <v>33526</v>
      </c>
    </row>
    <row r="121" spans="1:5">
      <c r="A121" t="s">
        <v>2028</v>
      </c>
      <c r="B121" t="s">
        <v>2152</v>
      </c>
      <c r="C121">
        <v>462520</v>
      </c>
      <c r="D121">
        <v>74.67</v>
      </c>
      <c r="E121">
        <v>46525</v>
      </c>
    </row>
    <row r="122" spans="1:5">
      <c r="A122" t="s">
        <v>2030</v>
      </c>
      <c r="B122" t="s">
        <v>2153</v>
      </c>
      <c r="C122">
        <v>288066</v>
      </c>
      <c r="D122">
        <v>77.47</v>
      </c>
      <c r="E122">
        <v>22347</v>
      </c>
    </row>
    <row r="123" spans="1:5">
      <c r="A123" t="s">
        <v>2028</v>
      </c>
      <c r="B123" t="s">
        <v>2154</v>
      </c>
      <c r="C123">
        <v>758349</v>
      </c>
      <c r="D123">
        <v>37.9</v>
      </c>
      <c r="E123">
        <v>1046</v>
      </c>
    </row>
    <row r="124" spans="1:5">
      <c r="A124" t="s">
        <v>2030</v>
      </c>
      <c r="B124" t="s">
        <v>2155</v>
      </c>
      <c r="C124">
        <v>399247</v>
      </c>
      <c r="D124">
        <v>74.66</v>
      </c>
      <c r="E124">
        <v>47493</v>
      </c>
    </row>
    <row r="125" spans="1:5">
      <c r="A125" t="s">
        <v>2029</v>
      </c>
      <c r="B125" t="s">
        <v>2156</v>
      </c>
      <c r="C125">
        <v>975716</v>
      </c>
      <c r="D125">
        <v>36.99</v>
      </c>
      <c r="E125">
        <v>29668</v>
      </c>
    </row>
    <row r="126" spans="1:5">
      <c r="A126" t="s">
        <v>2029</v>
      </c>
      <c r="B126" t="s">
        <v>2157</v>
      </c>
      <c r="C126">
        <v>144191</v>
      </c>
      <c r="D126">
        <v>32.08</v>
      </c>
      <c r="E126">
        <v>39428</v>
      </c>
    </row>
    <row r="127" spans="1:5">
      <c r="A127" t="s">
        <v>2030</v>
      </c>
      <c r="B127" t="s">
        <v>2158</v>
      </c>
      <c r="C127">
        <v>346480</v>
      </c>
      <c r="D127">
        <v>79.099999999999994</v>
      </c>
      <c r="E127">
        <v>3895</v>
      </c>
    </row>
    <row r="128" spans="1:5">
      <c r="A128" t="s">
        <v>2031</v>
      </c>
      <c r="B128" t="s">
        <v>2159</v>
      </c>
      <c r="C128">
        <v>842918</v>
      </c>
      <c r="D128">
        <v>68.17</v>
      </c>
      <c r="E128">
        <v>2996</v>
      </c>
    </row>
    <row r="129" spans="1:5">
      <c r="A129" t="s">
        <v>2030</v>
      </c>
      <c r="B129" t="s">
        <v>2160</v>
      </c>
      <c r="C129">
        <v>690310</v>
      </c>
      <c r="D129">
        <v>57.98</v>
      </c>
      <c r="E129">
        <v>42989</v>
      </c>
    </row>
    <row r="130" spans="1:5">
      <c r="A130" t="s">
        <v>2029</v>
      </c>
      <c r="B130" t="s">
        <v>2161</v>
      </c>
      <c r="C130">
        <v>152820</v>
      </c>
      <c r="D130">
        <v>66.81</v>
      </c>
      <c r="E130">
        <v>42944</v>
      </c>
    </row>
    <row r="131" spans="1:5">
      <c r="A131" t="s">
        <v>2032</v>
      </c>
      <c r="B131" t="s">
        <v>2162</v>
      </c>
      <c r="C131">
        <v>208678</v>
      </c>
      <c r="D131">
        <v>26.64</v>
      </c>
      <c r="E131">
        <v>5719</v>
      </c>
    </row>
    <row r="132" spans="1:5">
      <c r="A132" t="s">
        <v>2031</v>
      </c>
      <c r="B132" t="s">
        <v>2163</v>
      </c>
      <c r="C132">
        <v>402898</v>
      </c>
      <c r="D132">
        <v>79.2</v>
      </c>
      <c r="E132">
        <v>27681</v>
      </c>
    </row>
    <row r="133" spans="1:5">
      <c r="A133" t="s">
        <v>2031</v>
      </c>
      <c r="B133" t="s">
        <v>2164</v>
      </c>
      <c r="C133">
        <v>684458</v>
      </c>
      <c r="D133">
        <v>67.98</v>
      </c>
      <c r="E133">
        <v>42220</v>
      </c>
    </row>
    <row r="134" spans="1:5">
      <c r="A134" t="s">
        <v>2029</v>
      </c>
      <c r="B134" t="s">
        <v>2165</v>
      </c>
      <c r="C134">
        <v>109317</v>
      </c>
      <c r="D134">
        <v>79.010000000000005</v>
      </c>
      <c r="E134">
        <v>24694</v>
      </c>
    </row>
    <row r="135" spans="1:5">
      <c r="A135" t="s">
        <v>2028</v>
      </c>
      <c r="B135" t="s">
        <v>2166</v>
      </c>
      <c r="C135">
        <v>494068</v>
      </c>
      <c r="D135">
        <v>82.33</v>
      </c>
      <c r="E135">
        <v>48514</v>
      </c>
    </row>
    <row r="136" spans="1:5">
      <c r="A136" t="s">
        <v>2032</v>
      </c>
      <c r="B136" t="s">
        <v>2167</v>
      </c>
      <c r="C136">
        <v>841958</v>
      </c>
      <c r="D136">
        <v>36.4</v>
      </c>
      <c r="E136">
        <v>26968</v>
      </c>
    </row>
    <row r="137" spans="1:5">
      <c r="A137" t="s">
        <v>2030</v>
      </c>
      <c r="B137" t="s">
        <v>2168</v>
      </c>
      <c r="C137">
        <v>854265</v>
      </c>
      <c r="D137">
        <v>55.04</v>
      </c>
      <c r="E137">
        <v>48295</v>
      </c>
    </row>
    <row r="138" spans="1:5">
      <c r="A138" t="s">
        <v>2031</v>
      </c>
      <c r="B138" t="s">
        <v>2169</v>
      </c>
      <c r="C138">
        <v>489332</v>
      </c>
      <c r="D138">
        <v>60.21</v>
      </c>
      <c r="E138">
        <v>36727</v>
      </c>
    </row>
    <row r="139" spans="1:5">
      <c r="A139" t="s">
        <v>2029</v>
      </c>
      <c r="B139" t="s">
        <v>2170</v>
      </c>
      <c r="C139">
        <v>150136</v>
      </c>
      <c r="D139">
        <v>48.12</v>
      </c>
      <c r="E139">
        <v>42999</v>
      </c>
    </row>
    <row r="140" spans="1:5">
      <c r="A140" t="s">
        <v>2031</v>
      </c>
      <c r="B140" t="s">
        <v>2171</v>
      </c>
      <c r="C140">
        <v>523977</v>
      </c>
      <c r="D140">
        <v>87.06</v>
      </c>
      <c r="E140">
        <v>49717</v>
      </c>
    </row>
    <row r="141" spans="1:5">
      <c r="A141" t="s">
        <v>2031</v>
      </c>
      <c r="B141" t="s">
        <v>2172</v>
      </c>
      <c r="C141">
        <v>298994</v>
      </c>
      <c r="D141">
        <v>36.29</v>
      </c>
      <c r="E141">
        <v>1851</v>
      </c>
    </row>
    <row r="142" spans="1:5">
      <c r="A142" t="s">
        <v>2030</v>
      </c>
      <c r="B142" t="s">
        <v>2173</v>
      </c>
      <c r="C142">
        <v>488473</v>
      </c>
      <c r="D142">
        <v>41.21</v>
      </c>
      <c r="E142">
        <v>39069</v>
      </c>
    </row>
    <row r="143" spans="1:5">
      <c r="A143" t="s">
        <v>2029</v>
      </c>
      <c r="B143" t="s">
        <v>2174</v>
      </c>
      <c r="C143">
        <v>957160</v>
      </c>
      <c r="D143">
        <v>40.74</v>
      </c>
      <c r="E143">
        <v>32977</v>
      </c>
    </row>
    <row r="144" spans="1:5">
      <c r="A144" t="s">
        <v>2031</v>
      </c>
      <c r="B144" t="s">
        <v>2175</v>
      </c>
      <c r="C144">
        <v>633764</v>
      </c>
      <c r="D144">
        <v>25.66</v>
      </c>
      <c r="E144">
        <v>20400</v>
      </c>
    </row>
    <row r="145" spans="1:5">
      <c r="A145" t="s">
        <v>2032</v>
      </c>
      <c r="B145" t="s">
        <v>2176</v>
      </c>
      <c r="C145">
        <v>807057</v>
      </c>
      <c r="D145">
        <v>58.17</v>
      </c>
      <c r="E145">
        <v>23818</v>
      </c>
    </row>
    <row r="146" spans="1:5">
      <c r="A146" t="s">
        <v>2029</v>
      </c>
      <c r="B146" t="s">
        <v>2177</v>
      </c>
      <c r="C146">
        <v>472731</v>
      </c>
      <c r="D146">
        <v>87.66</v>
      </c>
      <c r="E146">
        <v>33341</v>
      </c>
    </row>
    <row r="147" spans="1:5">
      <c r="A147" t="s">
        <v>2032</v>
      </c>
      <c r="B147" t="s">
        <v>2178</v>
      </c>
      <c r="C147">
        <v>196322</v>
      </c>
      <c r="D147">
        <v>73.8</v>
      </c>
      <c r="E147">
        <v>45145</v>
      </c>
    </row>
    <row r="148" spans="1:5">
      <c r="A148" t="s">
        <v>2028</v>
      </c>
      <c r="B148" t="s">
        <v>2179</v>
      </c>
      <c r="C148">
        <v>621076</v>
      </c>
      <c r="D148">
        <v>70.53</v>
      </c>
      <c r="E148">
        <v>1953</v>
      </c>
    </row>
    <row r="149" spans="1:5">
      <c r="A149" t="s">
        <v>2029</v>
      </c>
      <c r="B149" t="s">
        <v>2180</v>
      </c>
      <c r="C149">
        <v>142158</v>
      </c>
      <c r="D149">
        <v>76.55</v>
      </c>
      <c r="E149">
        <v>32265</v>
      </c>
    </row>
    <row r="150" spans="1:5">
      <c r="A150" t="s">
        <v>2032</v>
      </c>
      <c r="B150" t="s">
        <v>2181</v>
      </c>
      <c r="C150">
        <v>887977</v>
      </c>
      <c r="D150">
        <v>62.6</v>
      </c>
      <c r="E150">
        <v>28825</v>
      </c>
    </row>
    <row r="151" spans="1:5">
      <c r="A151" t="s">
        <v>2031</v>
      </c>
      <c r="B151" t="s">
        <v>2182</v>
      </c>
      <c r="C151">
        <v>174791</v>
      </c>
      <c r="D151">
        <v>88.79</v>
      </c>
      <c r="E151">
        <v>10437</v>
      </c>
    </row>
    <row r="152" spans="1:5">
      <c r="A152" t="s">
        <v>2032</v>
      </c>
      <c r="B152" t="s">
        <v>2183</v>
      </c>
      <c r="C152">
        <v>734370</v>
      </c>
      <c r="D152">
        <v>77.97</v>
      </c>
      <c r="E152">
        <v>34198</v>
      </c>
    </row>
    <row r="153" spans="1:5">
      <c r="A153" t="s">
        <v>2030</v>
      </c>
      <c r="B153" t="s">
        <v>2184</v>
      </c>
      <c r="C153">
        <v>392693</v>
      </c>
      <c r="D153">
        <v>22.48</v>
      </c>
      <c r="E153">
        <v>5113</v>
      </c>
    </row>
    <row r="154" spans="1:5">
      <c r="A154" t="s">
        <v>2029</v>
      </c>
      <c r="B154" t="s">
        <v>2185</v>
      </c>
      <c r="C154">
        <v>984962</v>
      </c>
      <c r="D154">
        <v>75.75</v>
      </c>
      <c r="E154">
        <v>17205</v>
      </c>
    </row>
    <row r="155" spans="1:5">
      <c r="A155" t="s">
        <v>2028</v>
      </c>
      <c r="B155" t="s">
        <v>2186</v>
      </c>
      <c r="C155">
        <v>878900</v>
      </c>
      <c r="D155">
        <v>53.45</v>
      </c>
      <c r="E155">
        <v>20119</v>
      </c>
    </row>
    <row r="156" spans="1:5">
      <c r="A156" t="s">
        <v>2032</v>
      </c>
      <c r="B156" t="s">
        <v>2187</v>
      </c>
      <c r="C156">
        <v>259949</v>
      </c>
      <c r="D156">
        <v>20.74</v>
      </c>
      <c r="E156">
        <v>28054</v>
      </c>
    </row>
    <row r="157" spans="1:5">
      <c r="A157" t="s">
        <v>2031</v>
      </c>
      <c r="B157" t="s">
        <v>2188</v>
      </c>
      <c r="C157">
        <v>471779</v>
      </c>
      <c r="D157">
        <v>54.85</v>
      </c>
      <c r="E157">
        <v>1939</v>
      </c>
    </row>
    <row r="158" spans="1:5">
      <c r="A158" t="s">
        <v>2031</v>
      </c>
      <c r="B158" t="s">
        <v>2189</v>
      </c>
      <c r="C158">
        <v>873889</v>
      </c>
      <c r="D158">
        <v>51.12</v>
      </c>
      <c r="E158">
        <v>46357</v>
      </c>
    </row>
    <row r="159" spans="1:5">
      <c r="A159" t="s">
        <v>2029</v>
      </c>
      <c r="B159" t="s">
        <v>2190</v>
      </c>
      <c r="C159">
        <v>732379</v>
      </c>
      <c r="D159">
        <v>46.13</v>
      </c>
      <c r="E159">
        <v>1563</v>
      </c>
    </row>
    <row r="160" spans="1:5">
      <c r="A160" t="s">
        <v>2028</v>
      </c>
      <c r="B160" t="s">
        <v>2191</v>
      </c>
      <c r="C160">
        <v>949710</v>
      </c>
      <c r="D160">
        <v>28.33</v>
      </c>
      <c r="E160">
        <v>17108</v>
      </c>
    </row>
    <row r="161" spans="1:5">
      <c r="A161" t="s">
        <v>2028</v>
      </c>
      <c r="B161" t="s">
        <v>2192</v>
      </c>
      <c r="C161">
        <v>656658</v>
      </c>
      <c r="D161">
        <v>68.16</v>
      </c>
      <c r="E161">
        <v>18179</v>
      </c>
    </row>
    <row r="162" spans="1:5">
      <c r="A162" t="s">
        <v>2032</v>
      </c>
      <c r="B162" t="s">
        <v>2193</v>
      </c>
      <c r="C162">
        <v>268318</v>
      </c>
      <c r="D162">
        <v>36.32</v>
      </c>
      <c r="E162">
        <v>16981</v>
      </c>
    </row>
    <row r="163" spans="1:5">
      <c r="A163" t="s">
        <v>2028</v>
      </c>
      <c r="B163" t="s">
        <v>2194</v>
      </c>
      <c r="C163">
        <v>922730</v>
      </c>
      <c r="D163">
        <v>22.36</v>
      </c>
      <c r="E163">
        <v>44499</v>
      </c>
    </row>
    <row r="164" spans="1:5">
      <c r="A164" t="s">
        <v>2030</v>
      </c>
      <c r="B164" t="s">
        <v>2195</v>
      </c>
      <c r="C164">
        <v>122305</v>
      </c>
      <c r="D164">
        <v>71.2</v>
      </c>
      <c r="E164">
        <v>15054</v>
      </c>
    </row>
    <row r="165" spans="1:5">
      <c r="A165" t="s">
        <v>2030</v>
      </c>
      <c r="B165" t="s">
        <v>2196</v>
      </c>
      <c r="C165">
        <v>564100</v>
      </c>
      <c r="D165">
        <v>67.260000000000005</v>
      </c>
      <c r="E165">
        <v>44644</v>
      </c>
    </row>
    <row r="166" spans="1:5">
      <c r="A166" t="s">
        <v>2029</v>
      </c>
      <c r="B166" t="s">
        <v>2197</v>
      </c>
      <c r="C166">
        <v>776427</v>
      </c>
      <c r="D166">
        <v>37.31</v>
      </c>
      <c r="E166">
        <v>11477</v>
      </c>
    </row>
    <row r="167" spans="1:5">
      <c r="A167" t="s">
        <v>2032</v>
      </c>
      <c r="B167" t="s">
        <v>2198</v>
      </c>
      <c r="C167">
        <v>697173</v>
      </c>
      <c r="D167">
        <v>64.95</v>
      </c>
      <c r="E167">
        <v>5787</v>
      </c>
    </row>
    <row r="168" spans="1:5">
      <c r="A168" t="s">
        <v>2029</v>
      </c>
      <c r="B168" t="s">
        <v>2199</v>
      </c>
      <c r="C168">
        <v>593588</v>
      </c>
      <c r="D168">
        <v>36.119999999999997</v>
      </c>
      <c r="E168">
        <v>9822</v>
      </c>
    </row>
    <row r="169" spans="1:5">
      <c r="A169" t="s">
        <v>2028</v>
      </c>
      <c r="B169" t="s">
        <v>2200</v>
      </c>
      <c r="C169">
        <v>473359</v>
      </c>
      <c r="D169">
        <v>30.55</v>
      </c>
      <c r="E169">
        <v>40853</v>
      </c>
    </row>
    <row r="170" spans="1:5">
      <c r="A170" t="s">
        <v>2029</v>
      </c>
      <c r="B170" t="s">
        <v>2201</v>
      </c>
      <c r="C170">
        <v>318585</v>
      </c>
      <c r="D170">
        <v>82.42</v>
      </c>
      <c r="E170">
        <v>44706</v>
      </c>
    </row>
    <row r="171" spans="1:5">
      <c r="A171" t="s">
        <v>2029</v>
      </c>
      <c r="B171" t="s">
        <v>2202</v>
      </c>
      <c r="C171">
        <v>436049</v>
      </c>
      <c r="D171">
        <v>37.5</v>
      </c>
      <c r="E171">
        <v>13051</v>
      </c>
    </row>
    <row r="172" spans="1:5">
      <c r="A172" t="s">
        <v>2030</v>
      </c>
      <c r="B172" t="s">
        <v>2203</v>
      </c>
      <c r="C172">
        <v>775077</v>
      </c>
      <c r="D172">
        <v>77.84</v>
      </c>
      <c r="E172">
        <v>35778</v>
      </c>
    </row>
    <row r="173" spans="1:5">
      <c r="A173" t="s">
        <v>2029</v>
      </c>
      <c r="B173" t="s">
        <v>2204</v>
      </c>
      <c r="C173">
        <v>675534</v>
      </c>
      <c r="D173">
        <v>72.239999999999995</v>
      </c>
      <c r="E173">
        <v>41818</v>
      </c>
    </row>
    <row r="174" spans="1:5">
      <c r="A174" t="s">
        <v>2031</v>
      </c>
      <c r="B174" t="s">
        <v>2205</v>
      </c>
      <c r="C174">
        <v>164824</v>
      </c>
      <c r="D174">
        <v>74.739999999999995</v>
      </c>
      <c r="E174">
        <v>25033</v>
      </c>
    </row>
    <row r="175" spans="1:5">
      <c r="A175" t="s">
        <v>2030</v>
      </c>
      <c r="B175" t="s">
        <v>2206</v>
      </c>
      <c r="C175">
        <v>913919</v>
      </c>
      <c r="D175">
        <v>78.790000000000006</v>
      </c>
      <c r="E175">
        <v>43653</v>
      </c>
    </row>
    <row r="176" spans="1:5">
      <c r="A176" t="s">
        <v>2029</v>
      </c>
      <c r="B176" t="s">
        <v>2207</v>
      </c>
      <c r="C176">
        <v>759917</v>
      </c>
      <c r="D176">
        <v>28.69</v>
      </c>
      <c r="E176">
        <v>46852</v>
      </c>
    </row>
    <row r="177" spans="1:5">
      <c r="A177" t="s">
        <v>2032</v>
      </c>
      <c r="B177" t="s">
        <v>2208</v>
      </c>
      <c r="C177">
        <v>490718</v>
      </c>
      <c r="D177">
        <v>23.21</v>
      </c>
      <c r="E177">
        <v>48972</v>
      </c>
    </row>
    <row r="178" spans="1:5">
      <c r="A178" t="s">
        <v>2032</v>
      </c>
      <c r="B178" t="s">
        <v>2209</v>
      </c>
      <c r="C178">
        <v>388856</v>
      </c>
      <c r="D178">
        <v>73.16</v>
      </c>
      <c r="E178">
        <v>27916</v>
      </c>
    </row>
    <row r="179" spans="1:5">
      <c r="A179" t="s">
        <v>2030</v>
      </c>
      <c r="B179" t="s">
        <v>2210</v>
      </c>
      <c r="C179">
        <v>480499</v>
      </c>
      <c r="D179">
        <v>24.68</v>
      </c>
      <c r="E179">
        <v>25404</v>
      </c>
    </row>
    <row r="180" spans="1:5">
      <c r="A180" t="s">
        <v>2028</v>
      </c>
      <c r="B180" t="s">
        <v>2211</v>
      </c>
      <c r="C180">
        <v>499650</v>
      </c>
      <c r="D180">
        <v>36.299999999999997</v>
      </c>
      <c r="E180">
        <v>20688</v>
      </c>
    </row>
    <row r="181" spans="1:5">
      <c r="A181" t="s">
        <v>2028</v>
      </c>
      <c r="B181" t="s">
        <v>2212</v>
      </c>
      <c r="C181">
        <v>421929</v>
      </c>
      <c r="D181">
        <v>48.12</v>
      </c>
      <c r="E181">
        <v>4296</v>
      </c>
    </row>
    <row r="182" spans="1:5">
      <c r="A182" t="s">
        <v>2029</v>
      </c>
      <c r="B182" t="s">
        <v>2213</v>
      </c>
      <c r="C182">
        <v>744858</v>
      </c>
      <c r="D182">
        <v>25.36</v>
      </c>
      <c r="E182">
        <v>46573</v>
      </c>
    </row>
    <row r="183" spans="1:5">
      <c r="A183" t="s">
        <v>2028</v>
      </c>
      <c r="B183" t="s">
        <v>2214</v>
      </c>
      <c r="C183">
        <v>148469</v>
      </c>
      <c r="D183">
        <v>79.650000000000006</v>
      </c>
      <c r="E183">
        <v>7168</v>
      </c>
    </row>
    <row r="184" spans="1:5">
      <c r="A184" t="s">
        <v>2028</v>
      </c>
      <c r="B184" t="s">
        <v>2215</v>
      </c>
      <c r="C184">
        <v>789681</v>
      </c>
      <c r="D184">
        <v>64.099999999999994</v>
      </c>
      <c r="E184">
        <v>12924</v>
      </c>
    </row>
    <row r="185" spans="1:5">
      <c r="A185" t="s">
        <v>2029</v>
      </c>
      <c r="B185" t="s">
        <v>2216</v>
      </c>
      <c r="C185">
        <v>978453</v>
      </c>
      <c r="D185">
        <v>44.99</v>
      </c>
      <c r="E185">
        <v>32975</v>
      </c>
    </row>
    <row r="186" spans="1:5">
      <c r="A186" t="s">
        <v>2031</v>
      </c>
      <c r="B186" t="s">
        <v>2217</v>
      </c>
      <c r="C186">
        <v>894909</v>
      </c>
      <c r="D186">
        <v>31.9</v>
      </c>
      <c r="E186">
        <v>4166</v>
      </c>
    </row>
    <row r="187" spans="1:5">
      <c r="A187" t="s">
        <v>2030</v>
      </c>
      <c r="B187" t="s">
        <v>2218</v>
      </c>
      <c r="C187">
        <v>502594</v>
      </c>
      <c r="D187">
        <v>31.81</v>
      </c>
      <c r="E187">
        <v>21237</v>
      </c>
    </row>
    <row r="188" spans="1:5">
      <c r="A188" t="s">
        <v>2028</v>
      </c>
      <c r="B188" t="s">
        <v>2219</v>
      </c>
      <c r="C188">
        <v>110475</v>
      </c>
      <c r="D188">
        <v>49.3</v>
      </c>
      <c r="E188">
        <v>37649</v>
      </c>
    </row>
    <row r="189" spans="1:5">
      <c r="A189" t="s">
        <v>2032</v>
      </c>
      <c r="B189" t="s">
        <v>2220</v>
      </c>
      <c r="C189">
        <v>791336</v>
      </c>
      <c r="D189">
        <v>61.74</v>
      </c>
      <c r="E189">
        <v>25087</v>
      </c>
    </row>
    <row r="190" spans="1:5">
      <c r="A190" t="s">
        <v>2032</v>
      </c>
      <c r="B190" t="s">
        <v>2221</v>
      </c>
      <c r="C190">
        <v>834408</v>
      </c>
      <c r="D190">
        <v>86.68</v>
      </c>
      <c r="E190">
        <v>7288</v>
      </c>
    </row>
    <row r="191" spans="1:5">
      <c r="A191" t="s">
        <v>2029</v>
      </c>
      <c r="B191" t="s">
        <v>2222</v>
      </c>
      <c r="C191">
        <v>289093</v>
      </c>
      <c r="D191">
        <v>57.95</v>
      </c>
      <c r="E191">
        <v>25980</v>
      </c>
    </row>
    <row r="192" spans="1:5">
      <c r="A192" t="s">
        <v>2032</v>
      </c>
      <c r="B192" t="s">
        <v>2223</v>
      </c>
      <c r="C192">
        <v>735141</v>
      </c>
      <c r="D192">
        <v>23.17</v>
      </c>
      <c r="E192">
        <v>22676</v>
      </c>
    </row>
    <row r="193" spans="1:5">
      <c r="A193" t="s">
        <v>2028</v>
      </c>
      <c r="B193" t="s">
        <v>2224</v>
      </c>
      <c r="C193">
        <v>939956</v>
      </c>
      <c r="D193">
        <v>73.22</v>
      </c>
      <c r="E193">
        <v>44244</v>
      </c>
    </row>
    <row r="194" spans="1:5">
      <c r="A194" t="s">
        <v>2032</v>
      </c>
      <c r="B194" t="s">
        <v>2225</v>
      </c>
      <c r="C194">
        <v>221005</v>
      </c>
      <c r="D194">
        <v>71.44</v>
      </c>
      <c r="E194">
        <v>8843</v>
      </c>
    </row>
    <row r="195" spans="1:5">
      <c r="A195" t="s">
        <v>2028</v>
      </c>
      <c r="B195" t="s">
        <v>2226</v>
      </c>
      <c r="C195">
        <v>720329</v>
      </c>
      <c r="D195">
        <v>60.52</v>
      </c>
      <c r="E195">
        <v>22055</v>
      </c>
    </row>
    <row r="196" spans="1:5">
      <c r="A196" t="s">
        <v>2031</v>
      </c>
      <c r="B196" t="s">
        <v>2227</v>
      </c>
      <c r="C196">
        <v>335395</v>
      </c>
      <c r="D196">
        <v>54.43</v>
      </c>
      <c r="E196">
        <v>33126</v>
      </c>
    </row>
    <row r="197" spans="1:5">
      <c r="A197" t="s">
        <v>2029</v>
      </c>
      <c r="B197" t="s">
        <v>2228</v>
      </c>
      <c r="C197">
        <v>940692</v>
      </c>
      <c r="D197">
        <v>56.8</v>
      </c>
      <c r="E197">
        <v>24575</v>
      </c>
    </row>
    <row r="198" spans="1:5">
      <c r="A198" t="s">
        <v>2031</v>
      </c>
      <c r="B198" t="s">
        <v>2229</v>
      </c>
      <c r="C198">
        <v>199014</v>
      </c>
      <c r="D198">
        <v>62.37</v>
      </c>
      <c r="E198">
        <v>33156</v>
      </c>
    </row>
    <row r="199" spans="1:5">
      <c r="A199" t="s">
        <v>2030</v>
      </c>
      <c r="B199" t="s">
        <v>2230</v>
      </c>
      <c r="C199">
        <v>936565</v>
      </c>
      <c r="D199">
        <v>24.15</v>
      </c>
      <c r="E199">
        <v>1360</v>
      </c>
    </row>
    <row r="200" spans="1:5">
      <c r="A200" t="s">
        <v>2032</v>
      </c>
      <c r="B200" t="s">
        <v>2231</v>
      </c>
      <c r="C200">
        <v>756786</v>
      </c>
      <c r="D200">
        <v>53.69</v>
      </c>
      <c r="E200">
        <v>33661</v>
      </c>
    </row>
    <row r="201" spans="1:5">
      <c r="A201" t="s">
        <v>2031</v>
      </c>
      <c r="B201" t="s">
        <v>2232</v>
      </c>
      <c r="C201">
        <v>982213</v>
      </c>
      <c r="D201">
        <v>28.68</v>
      </c>
      <c r="E201">
        <v>20508</v>
      </c>
    </row>
    <row r="202" spans="1:5">
      <c r="A202" t="s">
        <v>2030</v>
      </c>
      <c r="B202" t="s">
        <v>2233</v>
      </c>
      <c r="C202">
        <v>833761</v>
      </c>
      <c r="D202">
        <v>78.459999999999994</v>
      </c>
      <c r="E202">
        <v>6698</v>
      </c>
    </row>
    <row r="203" spans="1:5">
      <c r="A203" t="s">
        <v>2028</v>
      </c>
      <c r="B203" t="s">
        <v>2234</v>
      </c>
      <c r="C203">
        <v>728140</v>
      </c>
      <c r="D203">
        <v>68.459999999999994</v>
      </c>
      <c r="E203">
        <v>34220</v>
      </c>
    </row>
    <row r="204" spans="1:5">
      <c r="A204" t="s">
        <v>2028</v>
      </c>
      <c r="B204" t="s">
        <v>2235</v>
      </c>
      <c r="C204">
        <v>286015</v>
      </c>
      <c r="D204">
        <v>67.319999999999993</v>
      </c>
      <c r="E204">
        <v>41014</v>
      </c>
    </row>
    <row r="205" spans="1:5">
      <c r="A205" t="s">
        <v>2032</v>
      </c>
      <c r="B205" t="s">
        <v>2236</v>
      </c>
      <c r="C205">
        <v>639252</v>
      </c>
      <c r="D205">
        <v>52.93</v>
      </c>
      <c r="E205">
        <v>3964</v>
      </c>
    </row>
    <row r="206" spans="1:5">
      <c r="A206" t="s">
        <v>2029</v>
      </c>
      <c r="B206" t="s">
        <v>2237</v>
      </c>
      <c r="C206">
        <v>849657</v>
      </c>
      <c r="D206">
        <v>53.55</v>
      </c>
      <c r="E206">
        <v>13156</v>
      </c>
    </row>
    <row r="207" spans="1:5">
      <c r="A207" t="s">
        <v>2031</v>
      </c>
      <c r="B207" t="s">
        <v>2238</v>
      </c>
      <c r="C207">
        <v>451149</v>
      </c>
      <c r="D207">
        <v>84.61</v>
      </c>
      <c r="E207">
        <v>11805</v>
      </c>
    </row>
    <row r="208" spans="1:5">
      <c r="A208" t="s">
        <v>2032</v>
      </c>
      <c r="B208" t="s">
        <v>2239</v>
      </c>
      <c r="C208">
        <v>302507</v>
      </c>
      <c r="D208">
        <v>21.66</v>
      </c>
      <c r="E208">
        <v>22433</v>
      </c>
    </row>
    <row r="209" spans="1:5">
      <c r="A209" t="s">
        <v>2032</v>
      </c>
      <c r="B209" t="s">
        <v>2240</v>
      </c>
      <c r="C209">
        <v>326859</v>
      </c>
      <c r="D209">
        <v>83.37</v>
      </c>
      <c r="E209">
        <v>28262</v>
      </c>
    </row>
    <row r="210" spans="1:5">
      <c r="A210" t="s">
        <v>2031</v>
      </c>
      <c r="B210" t="s">
        <v>2241</v>
      </c>
      <c r="C210">
        <v>603082</v>
      </c>
      <c r="D210">
        <v>85.53</v>
      </c>
      <c r="E210">
        <v>33165</v>
      </c>
    </row>
    <row r="211" spans="1:5">
      <c r="A211" t="s">
        <v>2029</v>
      </c>
      <c r="B211" t="s">
        <v>2242</v>
      </c>
      <c r="C211">
        <v>103751</v>
      </c>
      <c r="D211">
        <v>75.98</v>
      </c>
      <c r="E211">
        <v>37224</v>
      </c>
    </row>
    <row r="212" spans="1:5">
      <c r="A212" t="s">
        <v>2028</v>
      </c>
      <c r="B212" t="s">
        <v>2243</v>
      </c>
      <c r="C212">
        <v>919430</v>
      </c>
      <c r="D212">
        <v>23.76</v>
      </c>
      <c r="E212">
        <v>39535</v>
      </c>
    </row>
    <row r="213" spans="1:5">
      <c r="A213" t="s">
        <v>2031</v>
      </c>
      <c r="B213" t="s">
        <v>2244</v>
      </c>
      <c r="C213">
        <v>787433</v>
      </c>
      <c r="D213">
        <v>64.42</v>
      </c>
      <c r="E213">
        <v>15694</v>
      </c>
    </row>
    <row r="214" spans="1:5">
      <c r="A214" t="s">
        <v>2030</v>
      </c>
      <c r="B214" t="s">
        <v>2245</v>
      </c>
      <c r="C214">
        <v>281363</v>
      </c>
      <c r="D214">
        <v>74.73</v>
      </c>
      <c r="E214">
        <v>43170</v>
      </c>
    </row>
    <row r="215" spans="1:5">
      <c r="A215" t="s">
        <v>2030</v>
      </c>
      <c r="B215" t="s">
        <v>2246</v>
      </c>
      <c r="C215">
        <v>838303</v>
      </c>
      <c r="D215">
        <v>23.9</v>
      </c>
      <c r="E215">
        <v>46576</v>
      </c>
    </row>
    <row r="216" spans="1:5">
      <c r="A216" t="s">
        <v>2030</v>
      </c>
      <c r="B216" t="s">
        <v>2247</v>
      </c>
      <c r="C216">
        <v>964906</v>
      </c>
      <c r="D216">
        <v>57.58</v>
      </c>
      <c r="E216">
        <v>13469</v>
      </c>
    </row>
    <row r="217" spans="1:5">
      <c r="A217" t="s">
        <v>2031</v>
      </c>
      <c r="B217" t="s">
        <v>2248</v>
      </c>
      <c r="C217">
        <v>822598</v>
      </c>
      <c r="D217">
        <v>25.2</v>
      </c>
      <c r="E217">
        <v>44992</v>
      </c>
    </row>
    <row r="218" spans="1:5">
      <c r="A218" t="s">
        <v>2032</v>
      </c>
      <c r="B218" t="s">
        <v>2249</v>
      </c>
      <c r="C218">
        <v>882823</v>
      </c>
      <c r="D218">
        <v>84.35</v>
      </c>
      <c r="E218">
        <v>46966</v>
      </c>
    </row>
    <row r="219" spans="1:5">
      <c r="A219" t="s">
        <v>2032</v>
      </c>
      <c r="B219" t="s">
        <v>2250</v>
      </c>
      <c r="C219">
        <v>209832</v>
      </c>
      <c r="D219">
        <v>85.75</v>
      </c>
      <c r="E219">
        <v>6365</v>
      </c>
    </row>
    <row r="220" spans="1:5">
      <c r="A220" t="s">
        <v>2032</v>
      </c>
      <c r="B220" t="s">
        <v>2251</v>
      </c>
      <c r="C220">
        <v>895050</v>
      </c>
      <c r="D220">
        <v>42.36</v>
      </c>
      <c r="E220">
        <v>25720</v>
      </c>
    </row>
    <row r="221" spans="1:5">
      <c r="A221" t="s">
        <v>2028</v>
      </c>
      <c r="B221" t="s">
        <v>2252</v>
      </c>
      <c r="C221">
        <v>439177</v>
      </c>
      <c r="D221">
        <v>47.51</v>
      </c>
      <c r="E221">
        <v>14512</v>
      </c>
    </row>
    <row r="222" spans="1:5">
      <c r="A222" t="s">
        <v>2032</v>
      </c>
      <c r="B222" t="s">
        <v>2253</v>
      </c>
      <c r="C222">
        <v>693204</v>
      </c>
      <c r="D222">
        <v>84.23</v>
      </c>
      <c r="E222">
        <v>15260</v>
      </c>
    </row>
    <row r="223" spans="1:5">
      <c r="A223" t="s">
        <v>2030</v>
      </c>
      <c r="B223" t="s">
        <v>2254</v>
      </c>
      <c r="C223">
        <v>733367</v>
      </c>
      <c r="D223">
        <v>45.88</v>
      </c>
      <c r="E223">
        <v>7881</v>
      </c>
    </row>
    <row r="224" spans="1:5">
      <c r="A224" t="s">
        <v>2031</v>
      </c>
      <c r="B224" t="s">
        <v>2255</v>
      </c>
      <c r="C224">
        <v>383044</v>
      </c>
      <c r="D224">
        <v>86.61</v>
      </c>
      <c r="E224">
        <v>29862</v>
      </c>
    </row>
    <row r="225" spans="1:5">
      <c r="A225" t="s">
        <v>2032</v>
      </c>
      <c r="B225" t="s">
        <v>2256</v>
      </c>
      <c r="C225">
        <v>440419</v>
      </c>
      <c r="D225">
        <v>33.1</v>
      </c>
      <c r="E225">
        <v>48082</v>
      </c>
    </row>
    <row r="226" spans="1:5">
      <c r="A226" t="s">
        <v>2031</v>
      </c>
      <c r="B226" t="s">
        <v>2257</v>
      </c>
      <c r="C226">
        <v>753536</v>
      </c>
      <c r="D226">
        <v>38.450000000000003</v>
      </c>
      <c r="E226">
        <v>10729</v>
      </c>
    </row>
    <row r="227" spans="1:5">
      <c r="A227" t="s">
        <v>2029</v>
      </c>
      <c r="B227" t="s">
        <v>2258</v>
      </c>
      <c r="C227">
        <v>612100</v>
      </c>
      <c r="D227">
        <v>70.58</v>
      </c>
      <c r="E227">
        <v>46591</v>
      </c>
    </row>
    <row r="228" spans="1:5">
      <c r="A228" t="s">
        <v>2028</v>
      </c>
      <c r="B228" t="s">
        <v>2259</v>
      </c>
      <c r="C228">
        <v>242534</v>
      </c>
      <c r="D228">
        <v>39.94</v>
      </c>
      <c r="E228">
        <v>21442</v>
      </c>
    </row>
    <row r="229" spans="1:5">
      <c r="A229" t="s">
        <v>2028</v>
      </c>
      <c r="B229" t="s">
        <v>2260</v>
      </c>
      <c r="C229">
        <v>479641</v>
      </c>
      <c r="D229">
        <v>38.51</v>
      </c>
      <c r="E229">
        <v>10312</v>
      </c>
    </row>
    <row r="230" spans="1:5">
      <c r="A230" t="s">
        <v>2028</v>
      </c>
      <c r="B230" t="s">
        <v>2261</v>
      </c>
      <c r="C230">
        <v>400141</v>
      </c>
      <c r="D230">
        <v>38.94</v>
      </c>
      <c r="E230">
        <v>22812</v>
      </c>
    </row>
    <row r="231" spans="1:5">
      <c r="A231" t="s">
        <v>2031</v>
      </c>
      <c r="B231" t="s">
        <v>2262</v>
      </c>
      <c r="C231">
        <v>286420</v>
      </c>
      <c r="D231">
        <v>71.209999999999994</v>
      </c>
      <c r="E231">
        <v>10616</v>
      </c>
    </row>
    <row r="232" spans="1:5">
      <c r="A232" t="s">
        <v>2028</v>
      </c>
      <c r="B232" t="s">
        <v>2263</v>
      </c>
      <c r="C232">
        <v>771871</v>
      </c>
      <c r="D232">
        <v>70.84</v>
      </c>
      <c r="E232">
        <v>19054</v>
      </c>
    </row>
    <row r="233" spans="1:5">
      <c r="A233" t="s">
        <v>2032</v>
      </c>
      <c r="B233" t="s">
        <v>2264</v>
      </c>
      <c r="C233">
        <v>745826</v>
      </c>
      <c r="D233">
        <v>25</v>
      </c>
      <c r="E233">
        <v>13187</v>
      </c>
    </row>
    <row r="234" spans="1:5">
      <c r="A234" t="s">
        <v>2032</v>
      </c>
      <c r="B234" t="s">
        <v>2265</v>
      </c>
      <c r="C234">
        <v>133906</v>
      </c>
      <c r="D234">
        <v>38.81</v>
      </c>
      <c r="E234">
        <v>10051</v>
      </c>
    </row>
    <row r="235" spans="1:5">
      <c r="A235" t="s">
        <v>2032</v>
      </c>
      <c r="B235" t="s">
        <v>2266</v>
      </c>
      <c r="C235">
        <v>203684</v>
      </c>
      <c r="D235">
        <v>61.48</v>
      </c>
      <c r="E235">
        <v>15784</v>
      </c>
    </row>
    <row r="236" spans="1:5">
      <c r="A236" t="s">
        <v>2028</v>
      </c>
      <c r="B236" t="s">
        <v>2267</v>
      </c>
      <c r="C236">
        <v>170780</v>
      </c>
      <c r="D236">
        <v>77.67</v>
      </c>
      <c r="E236">
        <v>37665</v>
      </c>
    </row>
    <row r="237" spans="1:5">
      <c r="A237" t="s">
        <v>2028</v>
      </c>
      <c r="B237" t="s">
        <v>2268</v>
      </c>
      <c r="C237">
        <v>642117</v>
      </c>
      <c r="D237">
        <v>28.13</v>
      </c>
      <c r="E237">
        <v>43898</v>
      </c>
    </row>
    <row r="238" spans="1:5">
      <c r="A238" t="s">
        <v>2032</v>
      </c>
      <c r="B238" t="s">
        <v>2269</v>
      </c>
      <c r="C238">
        <v>579472</v>
      </c>
      <c r="D238">
        <v>64.08</v>
      </c>
      <c r="E238">
        <v>46652</v>
      </c>
    </row>
    <row r="239" spans="1:5">
      <c r="A239" t="s">
        <v>2028</v>
      </c>
      <c r="B239" t="s">
        <v>2270</v>
      </c>
      <c r="C239">
        <v>976125</v>
      </c>
      <c r="D239">
        <v>37.770000000000003</v>
      </c>
      <c r="E239">
        <v>18007</v>
      </c>
    </row>
    <row r="240" spans="1:5">
      <c r="A240" t="s">
        <v>2032</v>
      </c>
      <c r="B240" t="s">
        <v>2271</v>
      </c>
      <c r="C240">
        <v>499623</v>
      </c>
      <c r="D240">
        <v>60.17</v>
      </c>
      <c r="E240">
        <v>38720</v>
      </c>
    </row>
    <row r="241" spans="1:5">
      <c r="A241" t="s">
        <v>2032</v>
      </c>
      <c r="B241" t="s">
        <v>2272</v>
      </c>
      <c r="C241">
        <v>828546</v>
      </c>
      <c r="D241">
        <v>85.68</v>
      </c>
      <c r="E241">
        <v>41489</v>
      </c>
    </row>
    <row r="242" spans="1:5">
      <c r="A242" t="s">
        <v>2032</v>
      </c>
      <c r="B242" t="s">
        <v>2273</v>
      </c>
      <c r="C242">
        <v>531552</v>
      </c>
      <c r="D242">
        <v>80.64</v>
      </c>
      <c r="E242">
        <v>33812</v>
      </c>
    </row>
    <row r="243" spans="1:5">
      <c r="A243" t="s">
        <v>2032</v>
      </c>
      <c r="B243" t="s">
        <v>2274</v>
      </c>
      <c r="C243">
        <v>332079</v>
      </c>
      <c r="D243">
        <v>24.42</v>
      </c>
      <c r="E243">
        <v>39539</v>
      </c>
    </row>
    <row r="244" spans="1:5">
      <c r="A244" t="s">
        <v>2032</v>
      </c>
      <c r="B244" t="s">
        <v>2275</v>
      </c>
      <c r="C244">
        <v>505659</v>
      </c>
      <c r="D244">
        <v>51.38</v>
      </c>
      <c r="E244">
        <v>8405</v>
      </c>
    </row>
    <row r="245" spans="1:5">
      <c r="A245" t="s">
        <v>2032</v>
      </c>
      <c r="B245" t="s">
        <v>2276</v>
      </c>
      <c r="C245">
        <v>362222</v>
      </c>
      <c r="D245">
        <v>26.79</v>
      </c>
      <c r="E245">
        <v>48284</v>
      </c>
    </row>
    <row r="246" spans="1:5">
      <c r="A246" t="s">
        <v>2032</v>
      </c>
      <c r="B246" t="s">
        <v>2277</v>
      </c>
      <c r="C246">
        <v>827634</v>
      </c>
      <c r="D246">
        <v>59.08</v>
      </c>
      <c r="E246">
        <v>35523</v>
      </c>
    </row>
    <row r="247" spans="1:5">
      <c r="A247" t="s">
        <v>2029</v>
      </c>
      <c r="B247" t="s">
        <v>2278</v>
      </c>
      <c r="C247">
        <v>696668</v>
      </c>
      <c r="D247">
        <v>81.75</v>
      </c>
      <c r="E247">
        <v>15815</v>
      </c>
    </row>
    <row r="248" spans="1:5">
      <c r="A248" t="s">
        <v>2030</v>
      </c>
      <c r="B248" t="s">
        <v>2279</v>
      </c>
      <c r="C248">
        <v>668214</v>
      </c>
      <c r="D248">
        <v>39.590000000000003</v>
      </c>
      <c r="E248">
        <v>28093</v>
      </c>
    </row>
    <row r="249" spans="1:5">
      <c r="A249" t="s">
        <v>2029</v>
      </c>
      <c r="B249" t="s">
        <v>2280</v>
      </c>
      <c r="C249">
        <v>127703</v>
      </c>
      <c r="D249">
        <v>81.16</v>
      </c>
      <c r="E249">
        <v>15304</v>
      </c>
    </row>
    <row r="250" spans="1:5">
      <c r="A250" t="s">
        <v>2031</v>
      </c>
      <c r="B250" t="s">
        <v>2281</v>
      </c>
      <c r="C250">
        <v>555272</v>
      </c>
      <c r="D250">
        <v>43.63</v>
      </c>
      <c r="E250">
        <v>19616</v>
      </c>
    </row>
    <row r="251" spans="1:5">
      <c r="A251" t="s">
        <v>2031</v>
      </c>
      <c r="B251" t="s">
        <v>2282</v>
      </c>
      <c r="C251">
        <v>305362</v>
      </c>
      <c r="D251">
        <v>70.680000000000007</v>
      </c>
      <c r="E251">
        <v>27583</v>
      </c>
    </row>
    <row r="252" spans="1:5">
      <c r="A252" t="s">
        <v>2031</v>
      </c>
      <c r="B252" t="s">
        <v>2283</v>
      </c>
      <c r="C252">
        <v>803107</v>
      </c>
      <c r="D252">
        <v>51.62</v>
      </c>
      <c r="E252">
        <v>32848</v>
      </c>
    </row>
    <row r="253" spans="1:5">
      <c r="A253" t="s">
        <v>2028</v>
      </c>
      <c r="B253" t="s">
        <v>2284</v>
      </c>
      <c r="C253">
        <v>673860</v>
      </c>
      <c r="D253">
        <v>62.53</v>
      </c>
      <c r="E253">
        <v>2119</v>
      </c>
    </row>
    <row r="254" spans="1:5">
      <c r="A254" t="s">
        <v>2031</v>
      </c>
      <c r="B254" t="s">
        <v>2285</v>
      </c>
      <c r="C254">
        <v>479602</v>
      </c>
      <c r="D254">
        <v>87.89</v>
      </c>
      <c r="E254">
        <v>40628</v>
      </c>
    </row>
    <row r="255" spans="1:5">
      <c r="A255" t="s">
        <v>2029</v>
      </c>
      <c r="B255" t="s">
        <v>2286</v>
      </c>
      <c r="C255">
        <v>171157</v>
      </c>
      <c r="D255">
        <v>36.5</v>
      </c>
      <c r="E255">
        <v>45339</v>
      </c>
    </row>
    <row r="256" spans="1:5">
      <c r="A256" t="s">
        <v>2032</v>
      </c>
      <c r="B256" t="s">
        <v>2287</v>
      </c>
      <c r="C256">
        <v>301454</v>
      </c>
      <c r="D256">
        <v>35.200000000000003</v>
      </c>
      <c r="E256">
        <v>15189</v>
      </c>
    </row>
    <row r="257" spans="1:5">
      <c r="A257" t="s">
        <v>2031</v>
      </c>
      <c r="B257" t="s">
        <v>2288</v>
      </c>
      <c r="C257">
        <v>105429</v>
      </c>
      <c r="D257">
        <v>41.57</v>
      </c>
      <c r="E257">
        <v>1227</v>
      </c>
    </row>
    <row r="258" spans="1:5">
      <c r="A258" t="s">
        <v>2031</v>
      </c>
      <c r="B258" t="s">
        <v>2289</v>
      </c>
      <c r="C258">
        <v>935593</v>
      </c>
      <c r="D258">
        <v>55.68</v>
      </c>
      <c r="E258">
        <v>29679</v>
      </c>
    </row>
    <row r="259" spans="1:5">
      <c r="A259" t="s">
        <v>2031</v>
      </c>
      <c r="B259" t="s">
        <v>2290</v>
      </c>
      <c r="C259">
        <v>916924</v>
      </c>
      <c r="D259">
        <v>67.38</v>
      </c>
      <c r="E259">
        <v>10490</v>
      </c>
    </row>
    <row r="260" spans="1:5">
      <c r="A260" t="s">
        <v>2029</v>
      </c>
      <c r="B260" t="s">
        <v>2291</v>
      </c>
      <c r="C260">
        <v>701812</v>
      </c>
      <c r="D260">
        <v>86.19</v>
      </c>
      <c r="E260">
        <v>30245</v>
      </c>
    </row>
    <row r="261" spans="1:5">
      <c r="A261" t="s">
        <v>2028</v>
      </c>
      <c r="B261" t="s">
        <v>2292</v>
      </c>
      <c r="C261">
        <v>406018</v>
      </c>
      <c r="D261">
        <v>25.63</v>
      </c>
      <c r="E261">
        <v>39910</v>
      </c>
    </row>
    <row r="262" spans="1:5">
      <c r="A262" t="s">
        <v>2031</v>
      </c>
      <c r="B262" t="s">
        <v>2293</v>
      </c>
      <c r="C262">
        <v>985963</v>
      </c>
      <c r="D262">
        <v>65.75</v>
      </c>
      <c r="E262">
        <v>29961</v>
      </c>
    </row>
    <row r="263" spans="1:5">
      <c r="A263" t="s">
        <v>2032</v>
      </c>
      <c r="B263" t="s">
        <v>2294</v>
      </c>
      <c r="C263">
        <v>257532</v>
      </c>
      <c r="D263">
        <v>55.56</v>
      </c>
      <c r="E263">
        <v>37891</v>
      </c>
    </row>
    <row r="264" spans="1:5">
      <c r="A264" t="s">
        <v>2029</v>
      </c>
      <c r="B264" t="s">
        <v>2295</v>
      </c>
      <c r="C264">
        <v>998306</v>
      </c>
      <c r="D264">
        <v>73.650000000000006</v>
      </c>
      <c r="E264">
        <v>35965</v>
      </c>
    </row>
    <row r="265" spans="1:5">
      <c r="A265" t="s">
        <v>2028</v>
      </c>
      <c r="B265" t="s">
        <v>2296</v>
      </c>
      <c r="C265">
        <v>442796</v>
      </c>
      <c r="D265">
        <v>56.58</v>
      </c>
      <c r="E265">
        <v>21685</v>
      </c>
    </row>
    <row r="266" spans="1:5">
      <c r="A266" t="s">
        <v>2031</v>
      </c>
      <c r="B266" t="s">
        <v>2297</v>
      </c>
      <c r="C266">
        <v>252900</v>
      </c>
      <c r="D266">
        <v>59.07</v>
      </c>
      <c r="E266">
        <v>2382</v>
      </c>
    </row>
    <row r="267" spans="1:5">
      <c r="A267" t="s">
        <v>2028</v>
      </c>
      <c r="B267" t="s">
        <v>2298</v>
      </c>
      <c r="C267">
        <v>332356</v>
      </c>
      <c r="D267">
        <v>20.3</v>
      </c>
      <c r="E267">
        <v>49420</v>
      </c>
    </row>
    <row r="268" spans="1:5">
      <c r="A268" t="s">
        <v>2032</v>
      </c>
      <c r="B268" t="s">
        <v>2299</v>
      </c>
      <c r="C268">
        <v>162218</v>
      </c>
      <c r="D268">
        <v>61.93</v>
      </c>
      <c r="E268">
        <v>47931</v>
      </c>
    </row>
    <row r="269" spans="1:5">
      <c r="A269" t="s">
        <v>2029</v>
      </c>
      <c r="B269" t="s">
        <v>2300</v>
      </c>
      <c r="C269">
        <v>626783</v>
      </c>
      <c r="D269">
        <v>81.78</v>
      </c>
      <c r="E269">
        <v>2363</v>
      </c>
    </row>
    <row r="270" spans="1:5">
      <c r="A270" t="s">
        <v>2031</v>
      </c>
      <c r="B270" t="s">
        <v>2301</v>
      </c>
      <c r="C270">
        <v>285394</v>
      </c>
      <c r="D270">
        <v>26.63</v>
      </c>
      <c r="E270">
        <v>5537</v>
      </c>
    </row>
    <row r="271" spans="1:5">
      <c r="A271" t="s">
        <v>2031</v>
      </c>
      <c r="B271" t="s">
        <v>2302</v>
      </c>
      <c r="C271">
        <v>902025</v>
      </c>
      <c r="D271">
        <v>57.39</v>
      </c>
      <c r="E271">
        <v>12728</v>
      </c>
    </row>
    <row r="272" spans="1:5">
      <c r="A272" t="s">
        <v>2029</v>
      </c>
      <c r="B272" t="s">
        <v>2303</v>
      </c>
      <c r="C272">
        <v>509263</v>
      </c>
      <c r="D272">
        <v>45.24</v>
      </c>
      <c r="E272">
        <v>5682</v>
      </c>
    </row>
    <row r="273" spans="1:5">
      <c r="A273" t="s">
        <v>2029</v>
      </c>
      <c r="B273" t="s">
        <v>2304</v>
      </c>
      <c r="C273">
        <v>765171</v>
      </c>
      <c r="D273">
        <v>88.15</v>
      </c>
      <c r="E273">
        <v>12792</v>
      </c>
    </row>
    <row r="274" spans="1:5">
      <c r="A274" t="s">
        <v>2028</v>
      </c>
      <c r="B274" t="s">
        <v>2305</v>
      </c>
      <c r="C274">
        <v>654450</v>
      </c>
      <c r="D274">
        <v>62.17</v>
      </c>
      <c r="E274">
        <v>3809</v>
      </c>
    </row>
    <row r="275" spans="1:5">
      <c r="A275" t="s">
        <v>2029</v>
      </c>
      <c r="B275" t="s">
        <v>2306</v>
      </c>
      <c r="C275">
        <v>469635</v>
      </c>
      <c r="D275">
        <v>28.17</v>
      </c>
      <c r="E275">
        <v>13107</v>
      </c>
    </row>
    <row r="276" spans="1:5">
      <c r="A276" t="s">
        <v>2028</v>
      </c>
      <c r="B276" t="s">
        <v>2307</v>
      </c>
      <c r="C276">
        <v>174575</v>
      </c>
      <c r="D276">
        <v>56.84</v>
      </c>
      <c r="E276">
        <v>24300</v>
      </c>
    </row>
    <row r="277" spans="1:5">
      <c r="A277" t="s">
        <v>2029</v>
      </c>
      <c r="B277" t="s">
        <v>2308</v>
      </c>
      <c r="C277">
        <v>496052</v>
      </c>
      <c r="D277">
        <v>82.71</v>
      </c>
      <c r="E277">
        <v>49004</v>
      </c>
    </row>
    <row r="278" spans="1:5">
      <c r="A278" t="s">
        <v>2031</v>
      </c>
      <c r="B278" t="s">
        <v>2309</v>
      </c>
      <c r="C278">
        <v>850332</v>
      </c>
      <c r="D278">
        <v>40.159999999999997</v>
      </c>
      <c r="E278">
        <v>45013</v>
      </c>
    </row>
    <row r="279" spans="1:5">
      <c r="A279" t="s">
        <v>2030</v>
      </c>
      <c r="B279" t="s">
        <v>2310</v>
      </c>
      <c r="C279">
        <v>661662</v>
      </c>
      <c r="D279">
        <v>66.540000000000006</v>
      </c>
      <c r="E279">
        <v>46451</v>
      </c>
    </row>
    <row r="280" spans="1:5">
      <c r="A280" t="s">
        <v>2031</v>
      </c>
      <c r="B280" t="s">
        <v>2311</v>
      </c>
      <c r="C280">
        <v>629178</v>
      </c>
      <c r="D280">
        <v>66.290000000000006</v>
      </c>
      <c r="E280">
        <v>15961</v>
      </c>
    </row>
    <row r="281" spans="1:5">
      <c r="A281" t="s">
        <v>2032</v>
      </c>
      <c r="B281" t="s">
        <v>2312</v>
      </c>
      <c r="C281">
        <v>495586</v>
      </c>
      <c r="D281">
        <v>58.89</v>
      </c>
      <c r="E281">
        <v>12091</v>
      </c>
    </row>
    <row r="282" spans="1:5">
      <c r="A282" t="s">
        <v>2029</v>
      </c>
      <c r="B282" t="s">
        <v>2313</v>
      </c>
      <c r="C282">
        <v>184731</v>
      </c>
      <c r="D282">
        <v>47.22</v>
      </c>
      <c r="E282">
        <v>17650</v>
      </c>
    </row>
    <row r="283" spans="1:5">
      <c r="A283" t="s">
        <v>2029</v>
      </c>
      <c r="B283" t="s">
        <v>2314</v>
      </c>
      <c r="C283">
        <v>373176</v>
      </c>
      <c r="D283">
        <v>74.72</v>
      </c>
      <c r="E283">
        <v>34776</v>
      </c>
    </row>
    <row r="284" spans="1:5">
      <c r="A284" t="s">
        <v>2029</v>
      </c>
      <c r="B284" t="s">
        <v>2315</v>
      </c>
      <c r="C284">
        <v>283706</v>
      </c>
      <c r="D284">
        <v>55.84</v>
      </c>
      <c r="E284">
        <v>32309</v>
      </c>
    </row>
    <row r="285" spans="1:5">
      <c r="A285" t="s">
        <v>2032</v>
      </c>
      <c r="B285" t="s">
        <v>2316</v>
      </c>
      <c r="C285">
        <v>725924</v>
      </c>
      <c r="D285">
        <v>84.04</v>
      </c>
      <c r="E285">
        <v>29909</v>
      </c>
    </row>
    <row r="286" spans="1:5">
      <c r="A286" t="s">
        <v>2032</v>
      </c>
      <c r="B286" t="s">
        <v>2317</v>
      </c>
      <c r="C286">
        <v>111554</v>
      </c>
      <c r="D286">
        <v>55.78</v>
      </c>
      <c r="E286">
        <v>11848</v>
      </c>
    </row>
    <row r="287" spans="1:5">
      <c r="A287" t="s">
        <v>2030</v>
      </c>
      <c r="B287" t="s">
        <v>2318</v>
      </c>
      <c r="C287">
        <v>553286</v>
      </c>
      <c r="D287">
        <v>46.54</v>
      </c>
      <c r="E287">
        <v>33332</v>
      </c>
    </row>
    <row r="288" spans="1:5">
      <c r="A288" t="s">
        <v>2031</v>
      </c>
      <c r="B288" t="s">
        <v>2319</v>
      </c>
      <c r="C288">
        <v>657825</v>
      </c>
      <c r="D288">
        <v>79.83</v>
      </c>
      <c r="E288">
        <v>18961</v>
      </c>
    </row>
    <row r="289" spans="1:5">
      <c r="A289" t="s">
        <v>2028</v>
      </c>
      <c r="B289" t="s">
        <v>2320</v>
      </c>
      <c r="C289">
        <v>354886</v>
      </c>
      <c r="D289">
        <v>55.36</v>
      </c>
      <c r="E289">
        <v>30673</v>
      </c>
    </row>
    <row r="290" spans="1:5">
      <c r="A290" t="s">
        <v>2030</v>
      </c>
      <c r="B290" t="s">
        <v>2321</v>
      </c>
      <c r="C290">
        <v>720594</v>
      </c>
      <c r="D290">
        <v>41.13</v>
      </c>
      <c r="E290">
        <v>21865</v>
      </c>
    </row>
    <row r="291" spans="1:5">
      <c r="A291" t="s">
        <v>2032</v>
      </c>
      <c r="B291" t="s">
        <v>2322</v>
      </c>
      <c r="C291">
        <v>401630</v>
      </c>
      <c r="D291">
        <v>44.7</v>
      </c>
      <c r="E291">
        <v>37831</v>
      </c>
    </row>
    <row r="292" spans="1:5">
      <c r="A292" t="s">
        <v>2028</v>
      </c>
      <c r="B292" t="s">
        <v>2323</v>
      </c>
      <c r="C292">
        <v>219669</v>
      </c>
      <c r="D292">
        <v>44.09</v>
      </c>
      <c r="E292">
        <v>17308</v>
      </c>
    </row>
    <row r="293" spans="1:5">
      <c r="A293" t="s">
        <v>2031</v>
      </c>
      <c r="B293" t="s">
        <v>2324</v>
      </c>
      <c r="C293">
        <v>610987</v>
      </c>
      <c r="D293">
        <v>61.06</v>
      </c>
      <c r="E293">
        <v>15222</v>
      </c>
    </row>
    <row r="294" spans="1:5">
      <c r="A294" t="s">
        <v>2028</v>
      </c>
      <c r="B294" t="s">
        <v>2325</v>
      </c>
      <c r="C294">
        <v>129066</v>
      </c>
      <c r="D294">
        <v>21.51</v>
      </c>
      <c r="E294">
        <v>33624</v>
      </c>
    </row>
    <row r="295" spans="1:5">
      <c r="A295" t="s">
        <v>2032</v>
      </c>
      <c r="B295" t="s">
        <v>2326</v>
      </c>
      <c r="C295">
        <v>402025</v>
      </c>
      <c r="D295">
        <v>44.94</v>
      </c>
      <c r="E295">
        <v>42505</v>
      </c>
    </row>
    <row r="296" spans="1:5">
      <c r="A296" t="s">
        <v>2032</v>
      </c>
      <c r="B296" t="s">
        <v>2327</v>
      </c>
      <c r="C296">
        <v>995762</v>
      </c>
      <c r="D296">
        <v>81.599999999999994</v>
      </c>
      <c r="E296">
        <v>31122</v>
      </c>
    </row>
    <row r="297" spans="1:5">
      <c r="A297" t="s">
        <v>2029</v>
      </c>
      <c r="B297" t="s">
        <v>2328</v>
      </c>
      <c r="C297">
        <v>961000</v>
      </c>
      <c r="D297">
        <v>53.59</v>
      </c>
      <c r="E297">
        <v>19417</v>
      </c>
    </row>
    <row r="298" spans="1:5">
      <c r="A298" t="s">
        <v>2030</v>
      </c>
      <c r="B298" t="s">
        <v>2329</v>
      </c>
      <c r="C298">
        <v>130240</v>
      </c>
      <c r="D298">
        <v>39.21</v>
      </c>
      <c r="E298">
        <v>15946</v>
      </c>
    </row>
    <row r="299" spans="1:5">
      <c r="A299" t="s">
        <v>2030</v>
      </c>
      <c r="B299" t="s">
        <v>2330</v>
      </c>
      <c r="C299">
        <v>801420</v>
      </c>
      <c r="D299">
        <v>79.459999999999994</v>
      </c>
      <c r="E299">
        <v>10628</v>
      </c>
    </row>
    <row r="300" spans="1:5">
      <c r="A300" t="s">
        <v>2032</v>
      </c>
      <c r="B300" t="s">
        <v>2331</v>
      </c>
      <c r="C300">
        <v>739942</v>
      </c>
      <c r="D300">
        <v>30.99</v>
      </c>
      <c r="E300">
        <v>23362</v>
      </c>
    </row>
    <row r="301" spans="1:5">
      <c r="A301" t="s">
        <v>2031</v>
      </c>
      <c r="B301" t="s">
        <v>2332</v>
      </c>
      <c r="C301">
        <v>593117</v>
      </c>
      <c r="D301">
        <v>57.09</v>
      </c>
      <c r="E301">
        <v>10400</v>
      </c>
    </row>
    <row r="302" spans="1:5">
      <c r="A302" t="s">
        <v>2031</v>
      </c>
      <c r="B302" t="s">
        <v>2333</v>
      </c>
      <c r="C302">
        <v>407208</v>
      </c>
      <c r="D302">
        <v>79.97</v>
      </c>
      <c r="E302">
        <v>35194</v>
      </c>
    </row>
    <row r="303" spans="1:5">
      <c r="A303" t="s">
        <v>2031</v>
      </c>
      <c r="B303" t="s">
        <v>2334</v>
      </c>
      <c r="C303">
        <v>329008</v>
      </c>
      <c r="D303">
        <v>41.24</v>
      </c>
      <c r="E303">
        <v>28642</v>
      </c>
    </row>
    <row r="304" spans="1:5">
      <c r="A304" t="s">
        <v>2029</v>
      </c>
      <c r="B304" t="s">
        <v>2335</v>
      </c>
      <c r="C304">
        <v>429818</v>
      </c>
      <c r="D304">
        <v>38.61</v>
      </c>
      <c r="E304">
        <v>47443</v>
      </c>
    </row>
    <row r="305" spans="1:5">
      <c r="A305" t="s">
        <v>2031</v>
      </c>
      <c r="B305" t="s">
        <v>2336</v>
      </c>
      <c r="C305">
        <v>682808</v>
      </c>
      <c r="D305">
        <v>63.15</v>
      </c>
      <c r="E305">
        <v>31997</v>
      </c>
    </row>
    <row r="306" spans="1:5">
      <c r="A306" t="s">
        <v>2028</v>
      </c>
      <c r="B306" t="s">
        <v>2337</v>
      </c>
      <c r="C306">
        <v>532768</v>
      </c>
      <c r="D306">
        <v>71.48</v>
      </c>
      <c r="E306">
        <v>36696</v>
      </c>
    </row>
    <row r="307" spans="1:5">
      <c r="A307" t="s">
        <v>2030</v>
      </c>
      <c r="B307" t="s">
        <v>2338</v>
      </c>
      <c r="C307">
        <v>511892</v>
      </c>
      <c r="D307">
        <v>49.74</v>
      </c>
      <c r="E307">
        <v>32176</v>
      </c>
    </row>
    <row r="308" spans="1:5">
      <c r="A308" t="s">
        <v>2032</v>
      </c>
      <c r="B308" t="s">
        <v>2339</v>
      </c>
      <c r="C308">
        <v>805308</v>
      </c>
      <c r="D308">
        <v>89.35</v>
      </c>
      <c r="E308">
        <v>43666</v>
      </c>
    </row>
    <row r="309" spans="1:5">
      <c r="A309" t="s">
        <v>2028</v>
      </c>
      <c r="B309" t="s">
        <v>2340</v>
      </c>
      <c r="C309">
        <v>523985</v>
      </c>
      <c r="D309">
        <v>62.42</v>
      </c>
      <c r="E309">
        <v>27286</v>
      </c>
    </row>
    <row r="310" spans="1:5">
      <c r="A310" t="s">
        <v>2028</v>
      </c>
      <c r="B310" t="s">
        <v>2341</v>
      </c>
      <c r="C310">
        <v>976452</v>
      </c>
      <c r="D310">
        <v>42.91</v>
      </c>
      <c r="E310">
        <v>42150</v>
      </c>
    </row>
    <row r="311" spans="1:5">
      <c r="A311" t="s">
        <v>2029</v>
      </c>
      <c r="B311" t="s">
        <v>2342</v>
      </c>
      <c r="C311">
        <v>217240</v>
      </c>
      <c r="D311">
        <v>63.35</v>
      </c>
      <c r="E311">
        <v>25771</v>
      </c>
    </row>
    <row r="312" spans="1:5">
      <c r="A312" t="s">
        <v>2030</v>
      </c>
      <c r="B312" t="s">
        <v>2343</v>
      </c>
      <c r="C312">
        <v>213632</v>
      </c>
      <c r="D312">
        <v>47.2</v>
      </c>
      <c r="E312">
        <v>5101</v>
      </c>
    </row>
    <row r="313" spans="1:5">
      <c r="A313" t="s">
        <v>2028</v>
      </c>
      <c r="B313" t="s">
        <v>2344</v>
      </c>
      <c r="C313">
        <v>584417</v>
      </c>
      <c r="D313">
        <v>87.12</v>
      </c>
      <c r="E313">
        <v>37272</v>
      </c>
    </row>
    <row r="314" spans="1:5">
      <c r="A314" t="s">
        <v>2031</v>
      </c>
      <c r="B314" t="s">
        <v>2345</v>
      </c>
      <c r="C314">
        <v>151961</v>
      </c>
      <c r="D314">
        <v>87.12</v>
      </c>
      <c r="E314">
        <v>6045</v>
      </c>
    </row>
    <row r="315" spans="1:5">
      <c r="A315" t="s">
        <v>2028</v>
      </c>
      <c r="B315" t="s">
        <v>2346</v>
      </c>
      <c r="C315">
        <v>485386</v>
      </c>
      <c r="D315">
        <v>89.91</v>
      </c>
      <c r="E315">
        <v>41747</v>
      </c>
    </row>
    <row r="316" spans="1:5">
      <c r="A316" t="s">
        <v>2028</v>
      </c>
      <c r="B316" t="s">
        <v>2347</v>
      </c>
      <c r="C316">
        <v>542178</v>
      </c>
      <c r="D316">
        <v>80.290000000000006</v>
      </c>
      <c r="E316">
        <v>40321</v>
      </c>
    </row>
    <row r="317" spans="1:5">
      <c r="A317" t="s">
        <v>2028</v>
      </c>
      <c r="B317" t="s">
        <v>2348</v>
      </c>
      <c r="C317">
        <v>381641</v>
      </c>
      <c r="D317">
        <v>89.42</v>
      </c>
      <c r="E317">
        <v>38484</v>
      </c>
    </row>
    <row r="318" spans="1:5">
      <c r="A318" t="s">
        <v>2028</v>
      </c>
      <c r="B318" t="s">
        <v>2349</v>
      </c>
      <c r="C318">
        <v>817850</v>
      </c>
      <c r="D318">
        <v>60.36</v>
      </c>
      <c r="E318">
        <v>13939</v>
      </c>
    </row>
    <row r="319" spans="1:5">
      <c r="A319" t="s">
        <v>2031</v>
      </c>
      <c r="B319" t="s">
        <v>2350</v>
      </c>
      <c r="C319">
        <v>270412</v>
      </c>
      <c r="D319">
        <v>24.64</v>
      </c>
      <c r="E319">
        <v>34650</v>
      </c>
    </row>
    <row r="320" spans="1:5">
      <c r="A320" t="s">
        <v>2030</v>
      </c>
      <c r="B320" t="s">
        <v>2351</v>
      </c>
      <c r="C320">
        <v>514303</v>
      </c>
      <c r="D320">
        <v>25.66</v>
      </c>
      <c r="E320">
        <v>24551</v>
      </c>
    </row>
    <row r="321" spans="1:5">
      <c r="A321" t="s">
        <v>2028</v>
      </c>
      <c r="B321" t="s">
        <v>2352</v>
      </c>
      <c r="C321">
        <v>635980</v>
      </c>
      <c r="D321">
        <v>58.61</v>
      </c>
      <c r="E321">
        <v>23748</v>
      </c>
    </row>
    <row r="322" spans="1:5">
      <c r="A322" t="s">
        <v>2031</v>
      </c>
      <c r="B322" t="s">
        <v>2353</v>
      </c>
      <c r="C322">
        <v>696928</v>
      </c>
      <c r="D322">
        <v>29.64</v>
      </c>
      <c r="E322">
        <v>48453</v>
      </c>
    </row>
    <row r="323" spans="1:5">
      <c r="A323" t="s">
        <v>2031</v>
      </c>
      <c r="B323" t="s">
        <v>2354</v>
      </c>
      <c r="C323">
        <v>339679</v>
      </c>
      <c r="D323">
        <v>56.36</v>
      </c>
      <c r="E323">
        <v>27995</v>
      </c>
    </row>
    <row r="324" spans="1:5">
      <c r="A324" t="s">
        <v>2031</v>
      </c>
      <c r="B324" t="s">
        <v>2355</v>
      </c>
      <c r="C324">
        <v>346452</v>
      </c>
      <c r="D324">
        <v>27.63</v>
      </c>
      <c r="E324">
        <v>15844</v>
      </c>
    </row>
    <row r="325" spans="1:5">
      <c r="A325" t="s">
        <v>2031</v>
      </c>
      <c r="B325" t="s">
        <v>2356</v>
      </c>
      <c r="C325">
        <v>947921</v>
      </c>
      <c r="D325">
        <v>53.91</v>
      </c>
      <c r="E325">
        <v>29757</v>
      </c>
    </row>
    <row r="326" spans="1:5">
      <c r="A326" t="s">
        <v>2032</v>
      </c>
      <c r="B326" t="s">
        <v>2357</v>
      </c>
      <c r="C326">
        <v>306772</v>
      </c>
      <c r="D326">
        <v>39.53</v>
      </c>
      <c r="E326">
        <v>6513</v>
      </c>
    </row>
    <row r="327" spans="1:5">
      <c r="A327" t="s">
        <v>2030</v>
      </c>
      <c r="B327" t="s">
        <v>2358</v>
      </c>
      <c r="C327">
        <v>916629</v>
      </c>
      <c r="D327">
        <v>61.18</v>
      </c>
      <c r="E327">
        <v>21782</v>
      </c>
    </row>
    <row r="328" spans="1:5">
      <c r="A328" t="s">
        <v>2028</v>
      </c>
      <c r="B328" t="s">
        <v>2359</v>
      </c>
      <c r="C328">
        <v>425376</v>
      </c>
      <c r="D328">
        <v>80.12</v>
      </c>
      <c r="E328">
        <v>30381</v>
      </c>
    </row>
    <row r="329" spans="1:5">
      <c r="A329" t="s">
        <v>2031</v>
      </c>
      <c r="B329" t="s">
        <v>2360</v>
      </c>
      <c r="C329">
        <v>989254</v>
      </c>
      <c r="D329">
        <v>78.239999999999995</v>
      </c>
      <c r="E329">
        <v>31321</v>
      </c>
    </row>
    <row r="330" spans="1:5">
      <c r="A330" t="s">
        <v>2032</v>
      </c>
      <c r="B330" t="s">
        <v>2361</v>
      </c>
      <c r="C330">
        <v>531338</v>
      </c>
      <c r="D330">
        <v>84.93</v>
      </c>
      <c r="E330">
        <v>18769</v>
      </c>
    </row>
    <row r="331" spans="1:5">
      <c r="A331" t="s">
        <v>2029</v>
      </c>
      <c r="B331" t="s">
        <v>2362</v>
      </c>
      <c r="C331">
        <v>241686</v>
      </c>
      <c r="D331">
        <v>53.96</v>
      </c>
      <c r="E331">
        <v>46024</v>
      </c>
    </row>
    <row r="332" spans="1:5">
      <c r="A332" t="s">
        <v>2032</v>
      </c>
      <c r="B332" t="s">
        <v>2363</v>
      </c>
      <c r="C332">
        <v>814591</v>
      </c>
      <c r="D332">
        <v>83.81</v>
      </c>
      <c r="E332">
        <v>19083</v>
      </c>
    </row>
    <row r="333" spans="1:5">
      <c r="A333" t="s">
        <v>2028</v>
      </c>
      <c r="B333" t="s">
        <v>2364</v>
      </c>
      <c r="C333">
        <v>451906</v>
      </c>
      <c r="D333">
        <v>21.02</v>
      </c>
      <c r="E333">
        <v>8500</v>
      </c>
    </row>
    <row r="334" spans="1:5">
      <c r="A334" t="s">
        <v>2028</v>
      </c>
      <c r="B334" t="s">
        <v>2365</v>
      </c>
      <c r="C334">
        <v>613045</v>
      </c>
      <c r="D334">
        <v>40.89</v>
      </c>
      <c r="E334">
        <v>22397</v>
      </c>
    </row>
    <row r="335" spans="1:5">
      <c r="A335" t="s">
        <v>2028</v>
      </c>
      <c r="B335" t="s">
        <v>2366</v>
      </c>
      <c r="C335">
        <v>212664</v>
      </c>
      <c r="D335">
        <v>69.790000000000006</v>
      </c>
      <c r="E335">
        <v>43620</v>
      </c>
    </row>
    <row r="336" spans="1:5">
      <c r="A336" t="s">
        <v>2032</v>
      </c>
      <c r="B336" t="s">
        <v>2367</v>
      </c>
      <c r="C336">
        <v>707646</v>
      </c>
      <c r="D336">
        <v>66.97</v>
      </c>
      <c r="E336">
        <v>20370</v>
      </c>
    </row>
    <row r="337" spans="1:5">
      <c r="A337" t="s">
        <v>2030</v>
      </c>
      <c r="B337" t="s">
        <v>2368</v>
      </c>
      <c r="C337">
        <v>174574</v>
      </c>
      <c r="D337">
        <v>61.87</v>
      </c>
      <c r="E337">
        <v>35062</v>
      </c>
    </row>
    <row r="338" spans="1:5">
      <c r="A338" t="s">
        <v>2032</v>
      </c>
      <c r="B338" t="s">
        <v>2369</v>
      </c>
      <c r="C338">
        <v>624471</v>
      </c>
      <c r="D338">
        <v>65.42</v>
      </c>
      <c r="E338">
        <v>20960</v>
      </c>
    </row>
    <row r="339" spans="1:5">
      <c r="A339" t="s">
        <v>2031</v>
      </c>
      <c r="B339" t="s">
        <v>2370</v>
      </c>
      <c r="C339">
        <v>533374</v>
      </c>
      <c r="D339">
        <v>24.98</v>
      </c>
      <c r="E339">
        <v>28660</v>
      </c>
    </row>
    <row r="340" spans="1:5">
      <c r="A340" t="s">
        <v>2030</v>
      </c>
      <c r="B340" t="s">
        <v>2371</v>
      </c>
      <c r="C340">
        <v>246076</v>
      </c>
      <c r="D340">
        <v>45.82</v>
      </c>
      <c r="E340">
        <v>14054</v>
      </c>
    </row>
    <row r="341" spans="1:5">
      <c r="A341" t="s">
        <v>2030</v>
      </c>
      <c r="B341" t="s">
        <v>2372</v>
      </c>
      <c r="C341">
        <v>793936</v>
      </c>
      <c r="D341">
        <v>46.96</v>
      </c>
      <c r="E341">
        <v>43982</v>
      </c>
    </row>
    <row r="342" spans="1:5">
      <c r="A342" t="s">
        <v>2030</v>
      </c>
      <c r="B342" t="s">
        <v>2373</v>
      </c>
      <c r="C342">
        <v>500977</v>
      </c>
      <c r="D342">
        <v>30.61</v>
      </c>
      <c r="E342">
        <v>7455</v>
      </c>
    </row>
    <row r="343" spans="1:5">
      <c r="A343" t="s">
        <v>2032</v>
      </c>
      <c r="B343" t="s">
        <v>2374</v>
      </c>
      <c r="C343">
        <v>175092</v>
      </c>
      <c r="D343">
        <v>74.25</v>
      </c>
      <c r="E343">
        <v>2875</v>
      </c>
    </row>
    <row r="344" spans="1:5">
      <c r="A344" t="s">
        <v>2032</v>
      </c>
      <c r="B344" t="s">
        <v>2375</v>
      </c>
      <c r="C344">
        <v>489395</v>
      </c>
      <c r="D344">
        <v>56.1</v>
      </c>
      <c r="E344">
        <v>1578</v>
      </c>
    </row>
    <row r="345" spans="1:5">
      <c r="A345" t="s">
        <v>2028</v>
      </c>
      <c r="B345" t="s">
        <v>2376</v>
      </c>
      <c r="C345">
        <v>715782</v>
      </c>
      <c r="D345">
        <v>67.53</v>
      </c>
      <c r="E345">
        <v>37554</v>
      </c>
    </row>
    <row r="346" spans="1:5">
      <c r="A346" t="s">
        <v>2030</v>
      </c>
      <c r="B346" t="s">
        <v>2377</v>
      </c>
      <c r="C346">
        <v>739669</v>
      </c>
      <c r="D346">
        <v>33.32</v>
      </c>
      <c r="E346">
        <v>7391</v>
      </c>
    </row>
    <row r="347" spans="1:5">
      <c r="A347" t="s">
        <v>2028</v>
      </c>
      <c r="B347" t="s">
        <v>2378</v>
      </c>
      <c r="C347">
        <v>288398</v>
      </c>
      <c r="D347">
        <v>56.98</v>
      </c>
      <c r="E347">
        <v>13953</v>
      </c>
    </row>
    <row r="348" spans="1:5">
      <c r="A348" t="s">
        <v>2031</v>
      </c>
      <c r="B348" t="s">
        <v>2379</v>
      </c>
      <c r="C348">
        <v>622599</v>
      </c>
      <c r="D348">
        <v>37.47</v>
      </c>
      <c r="E348">
        <v>1378</v>
      </c>
    </row>
    <row r="349" spans="1:5">
      <c r="A349" t="s">
        <v>2032</v>
      </c>
      <c r="B349" t="s">
        <v>2380</v>
      </c>
      <c r="C349">
        <v>271790</v>
      </c>
      <c r="D349">
        <v>56.08</v>
      </c>
      <c r="E349">
        <v>1463</v>
      </c>
    </row>
    <row r="350" spans="1:5">
      <c r="A350" t="s">
        <v>2031</v>
      </c>
      <c r="B350" t="s">
        <v>2381</v>
      </c>
      <c r="C350">
        <v>622313</v>
      </c>
      <c r="D350">
        <v>48.99</v>
      </c>
      <c r="E350">
        <v>21526</v>
      </c>
    </row>
    <row r="351" spans="1:5">
      <c r="A351" t="s">
        <v>2032</v>
      </c>
      <c r="B351" t="s">
        <v>2382</v>
      </c>
      <c r="C351">
        <v>437289</v>
      </c>
      <c r="D351">
        <v>56.42</v>
      </c>
      <c r="E351">
        <v>40140</v>
      </c>
    </row>
    <row r="352" spans="1:5">
      <c r="A352" t="s">
        <v>2028</v>
      </c>
      <c r="B352" t="s">
        <v>2383</v>
      </c>
      <c r="C352">
        <v>551040</v>
      </c>
      <c r="D352">
        <v>72.11</v>
      </c>
      <c r="E352">
        <v>3193</v>
      </c>
    </row>
    <row r="353" spans="1:5">
      <c r="A353" t="s">
        <v>2032</v>
      </c>
      <c r="B353" t="s">
        <v>2384</v>
      </c>
      <c r="C353">
        <v>779481</v>
      </c>
      <c r="D353">
        <v>53.29</v>
      </c>
      <c r="E353">
        <v>16246</v>
      </c>
    </row>
    <row r="354" spans="1:5">
      <c r="A354" t="s">
        <v>2030</v>
      </c>
      <c r="B354" t="s">
        <v>2385</v>
      </c>
      <c r="C354">
        <v>498576</v>
      </c>
      <c r="D354">
        <v>50.82</v>
      </c>
      <c r="E354">
        <v>42998</v>
      </c>
    </row>
    <row r="355" spans="1:5">
      <c r="A355" t="s">
        <v>2028</v>
      </c>
      <c r="B355" t="s">
        <v>2386</v>
      </c>
      <c r="C355">
        <v>344201</v>
      </c>
      <c r="D355">
        <v>69.77</v>
      </c>
      <c r="E355">
        <v>19778</v>
      </c>
    </row>
    <row r="356" spans="1:5">
      <c r="A356" t="s">
        <v>2032</v>
      </c>
      <c r="B356" t="s">
        <v>2387</v>
      </c>
      <c r="C356">
        <v>146098</v>
      </c>
      <c r="D356">
        <v>36.82</v>
      </c>
      <c r="E356">
        <v>21672</v>
      </c>
    </row>
    <row r="357" spans="1:5">
      <c r="A357" t="s">
        <v>2031</v>
      </c>
      <c r="B357" t="s">
        <v>2388</v>
      </c>
      <c r="C357">
        <v>434240</v>
      </c>
      <c r="D357">
        <v>48.85</v>
      </c>
      <c r="E357">
        <v>34423</v>
      </c>
    </row>
    <row r="358" spans="1:5">
      <c r="A358" t="s">
        <v>2030</v>
      </c>
      <c r="B358" t="s">
        <v>2389</v>
      </c>
      <c r="C358">
        <v>153970</v>
      </c>
      <c r="D358">
        <v>58.65</v>
      </c>
      <c r="E358">
        <v>44458</v>
      </c>
    </row>
    <row r="359" spans="1:5">
      <c r="A359" t="s">
        <v>2032</v>
      </c>
      <c r="B359" t="s">
        <v>2390</v>
      </c>
      <c r="C359">
        <v>465215</v>
      </c>
      <c r="D359">
        <v>48.48</v>
      </c>
      <c r="E359">
        <v>32784</v>
      </c>
    </row>
    <row r="360" spans="1:5">
      <c r="A360" t="s">
        <v>2032</v>
      </c>
      <c r="B360" t="s">
        <v>2391</v>
      </c>
      <c r="C360">
        <v>863566</v>
      </c>
      <c r="D360">
        <v>76.67</v>
      </c>
      <c r="E360">
        <v>26529</v>
      </c>
    </row>
    <row r="361" spans="1:5">
      <c r="A361" t="s">
        <v>2031</v>
      </c>
      <c r="B361" t="s">
        <v>2392</v>
      </c>
      <c r="C361">
        <v>952517</v>
      </c>
      <c r="D361">
        <v>26.83</v>
      </c>
      <c r="E361">
        <v>47784</v>
      </c>
    </row>
    <row r="362" spans="1:5">
      <c r="A362" t="s">
        <v>2030</v>
      </c>
      <c r="B362" t="s">
        <v>2393</v>
      </c>
      <c r="C362">
        <v>887223</v>
      </c>
      <c r="D362">
        <v>52.19</v>
      </c>
      <c r="E362">
        <v>41478</v>
      </c>
    </row>
    <row r="363" spans="1:5">
      <c r="A363" t="s">
        <v>2029</v>
      </c>
      <c r="B363" t="s">
        <v>2394</v>
      </c>
      <c r="C363">
        <v>361426</v>
      </c>
      <c r="D363">
        <v>57.3</v>
      </c>
      <c r="E363">
        <v>39982</v>
      </c>
    </row>
    <row r="364" spans="1:5">
      <c r="A364" t="s">
        <v>2030</v>
      </c>
      <c r="B364" t="s">
        <v>2395</v>
      </c>
      <c r="C364">
        <v>512416</v>
      </c>
      <c r="D364">
        <v>59.02</v>
      </c>
      <c r="E364">
        <v>6098</v>
      </c>
    </row>
    <row r="365" spans="1:5">
      <c r="A365" t="s">
        <v>2028</v>
      </c>
      <c r="B365" t="s">
        <v>2396</v>
      </c>
      <c r="C365">
        <v>553163</v>
      </c>
      <c r="D365">
        <v>41.35</v>
      </c>
      <c r="E365">
        <v>40657</v>
      </c>
    </row>
    <row r="366" spans="1:5">
      <c r="A366" t="s">
        <v>2029</v>
      </c>
      <c r="B366" t="s">
        <v>2397</v>
      </c>
      <c r="C366">
        <v>999111</v>
      </c>
      <c r="D366">
        <v>32.69</v>
      </c>
      <c r="E366">
        <v>42153</v>
      </c>
    </row>
    <row r="367" spans="1:5">
      <c r="A367" t="s">
        <v>2032</v>
      </c>
      <c r="B367" t="s">
        <v>2398</v>
      </c>
      <c r="C367">
        <v>797877</v>
      </c>
      <c r="D367">
        <v>26.76</v>
      </c>
      <c r="E367">
        <v>42269</v>
      </c>
    </row>
    <row r="368" spans="1:5">
      <c r="A368" t="s">
        <v>2031</v>
      </c>
      <c r="B368" t="s">
        <v>2399</v>
      </c>
      <c r="C368">
        <v>593675</v>
      </c>
      <c r="D368">
        <v>68.98</v>
      </c>
      <c r="E368">
        <v>12396</v>
      </c>
    </row>
    <row r="369" spans="1:5">
      <c r="A369" t="s">
        <v>2032</v>
      </c>
      <c r="B369" t="s">
        <v>2400</v>
      </c>
      <c r="C369">
        <v>633007</v>
      </c>
      <c r="D369">
        <v>58.42</v>
      </c>
      <c r="E369">
        <v>18003</v>
      </c>
    </row>
    <row r="370" spans="1:5">
      <c r="A370" t="s">
        <v>2028</v>
      </c>
      <c r="B370" t="s">
        <v>2401</v>
      </c>
      <c r="C370">
        <v>536018</v>
      </c>
      <c r="D370">
        <v>23.23</v>
      </c>
      <c r="E370">
        <v>44354</v>
      </c>
    </row>
    <row r="371" spans="1:5">
      <c r="A371" t="s">
        <v>2028</v>
      </c>
      <c r="B371" t="s">
        <v>2402</v>
      </c>
      <c r="C371">
        <v>237903</v>
      </c>
      <c r="D371">
        <v>80.03</v>
      </c>
      <c r="E371">
        <v>7081</v>
      </c>
    </row>
    <row r="372" spans="1:5">
      <c r="A372" t="s">
        <v>2029</v>
      </c>
      <c r="B372" t="s">
        <v>2403</v>
      </c>
      <c r="C372">
        <v>811287</v>
      </c>
      <c r="D372">
        <v>37.5</v>
      </c>
      <c r="E372">
        <v>14630</v>
      </c>
    </row>
    <row r="373" spans="1:5">
      <c r="A373" t="s">
        <v>2030</v>
      </c>
      <c r="B373" t="s">
        <v>2404</v>
      </c>
      <c r="C373">
        <v>384865</v>
      </c>
      <c r="D373">
        <v>73.22</v>
      </c>
      <c r="E373">
        <v>8947</v>
      </c>
    </row>
    <row r="374" spans="1:5">
      <c r="A374" t="s">
        <v>2028</v>
      </c>
      <c r="B374" t="s">
        <v>2405</v>
      </c>
      <c r="C374">
        <v>974135</v>
      </c>
      <c r="D374">
        <v>25.99</v>
      </c>
      <c r="E374">
        <v>20968</v>
      </c>
    </row>
    <row r="375" spans="1:5">
      <c r="A375" t="s">
        <v>2028</v>
      </c>
      <c r="B375" t="s">
        <v>2406</v>
      </c>
      <c r="C375">
        <v>715380</v>
      </c>
      <c r="D375">
        <v>33.4</v>
      </c>
      <c r="E375">
        <v>36574</v>
      </c>
    </row>
    <row r="376" spans="1:5">
      <c r="A376" t="s">
        <v>2029</v>
      </c>
      <c r="B376" t="s">
        <v>2407</v>
      </c>
      <c r="C376">
        <v>198392</v>
      </c>
      <c r="D376">
        <v>54.55</v>
      </c>
      <c r="E376">
        <v>38704</v>
      </c>
    </row>
    <row r="377" spans="1:5">
      <c r="A377" t="s">
        <v>2031</v>
      </c>
      <c r="B377" t="s">
        <v>2408</v>
      </c>
      <c r="C377">
        <v>660154</v>
      </c>
      <c r="D377">
        <v>59.95</v>
      </c>
      <c r="E377">
        <v>3976</v>
      </c>
    </row>
    <row r="378" spans="1:5">
      <c r="A378" t="s">
        <v>2030</v>
      </c>
      <c r="B378" t="s">
        <v>2409</v>
      </c>
      <c r="C378">
        <v>566473</v>
      </c>
      <c r="D378">
        <v>70.349999999999994</v>
      </c>
      <c r="E378">
        <v>38068</v>
      </c>
    </row>
    <row r="379" spans="1:5">
      <c r="A379" t="s">
        <v>2028</v>
      </c>
      <c r="B379" t="s">
        <v>2410</v>
      </c>
      <c r="C379">
        <v>172263</v>
      </c>
      <c r="D379">
        <v>36.53</v>
      </c>
      <c r="E379">
        <v>48451</v>
      </c>
    </row>
    <row r="380" spans="1:5">
      <c r="A380" t="s">
        <v>2030</v>
      </c>
      <c r="B380" t="s">
        <v>2411</v>
      </c>
      <c r="C380">
        <v>132446</v>
      </c>
      <c r="D380">
        <v>34.549999999999997</v>
      </c>
      <c r="E380">
        <v>31797</v>
      </c>
    </row>
    <row r="381" spans="1:5">
      <c r="A381" t="s">
        <v>2030</v>
      </c>
      <c r="B381" t="s">
        <v>2412</v>
      </c>
      <c r="C381">
        <v>286318</v>
      </c>
      <c r="D381">
        <v>59.32</v>
      </c>
      <c r="E381">
        <v>14712</v>
      </c>
    </row>
    <row r="382" spans="1:5">
      <c r="A382" t="s">
        <v>2032</v>
      </c>
      <c r="B382" t="s">
        <v>2413</v>
      </c>
      <c r="C382">
        <v>816230</v>
      </c>
      <c r="D382">
        <v>75.47</v>
      </c>
      <c r="E382">
        <v>30208</v>
      </c>
    </row>
    <row r="383" spans="1:5">
      <c r="A383" t="s">
        <v>2032</v>
      </c>
      <c r="B383" t="s">
        <v>2414</v>
      </c>
      <c r="C383">
        <v>484924</v>
      </c>
      <c r="D383">
        <v>86.66</v>
      </c>
      <c r="E383">
        <v>32195</v>
      </c>
    </row>
    <row r="384" spans="1:5">
      <c r="A384" t="s">
        <v>2028</v>
      </c>
      <c r="B384" t="s">
        <v>2415</v>
      </c>
      <c r="C384">
        <v>838813</v>
      </c>
      <c r="D384">
        <v>33.81</v>
      </c>
      <c r="E384">
        <v>40681</v>
      </c>
    </row>
    <row r="385" spans="1:5">
      <c r="A385" t="s">
        <v>2031</v>
      </c>
      <c r="B385" t="s">
        <v>2416</v>
      </c>
      <c r="C385">
        <v>357364</v>
      </c>
      <c r="D385">
        <v>40.53</v>
      </c>
      <c r="E385">
        <v>12043</v>
      </c>
    </row>
    <row r="386" spans="1:5">
      <c r="A386" t="s">
        <v>2030</v>
      </c>
      <c r="B386" t="s">
        <v>2417</v>
      </c>
      <c r="C386">
        <v>889524</v>
      </c>
      <c r="D386">
        <v>23.05</v>
      </c>
      <c r="E386">
        <v>39172</v>
      </c>
    </row>
    <row r="387" spans="1:5">
      <c r="A387" t="s">
        <v>2028</v>
      </c>
      <c r="B387" t="s">
        <v>2418</v>
      </c>
      <c r="C387">
        <v>125623</v>
      </c>
      <c r="D387">
        <v>42.96</v>
      </c>
      <c r="E387">
        <v>12810</v>
      </c>
    </row>
    <row r="388" spans="1:5">
      <c r="A388" t="s">
        <v>2032</v>
      </c>
      <c r="B388" t="s">
        <v>2419</v>
      </c>
      <c r="C388">
        <v>126893</v>
      </c>
      <c r="D388">
        <v>53.58</v>
      </c>
      <c r="E388">
        <v>27479</v>
      </c>
    </row>
    <row r="389" spans="1:5">
      <c r="A389" t="s">
        <v>2031</v>
      </c>
      <c r="B389" t="s">
        <v>2420</v>
      </c>
      <c r="C389">
        <v>628378</v>
      </c>
      <c r="D389">
        <v>54.39</v>
      </c>
      <c r="E389">
        <v>47515</v>
      </c>
    </row>
    <row r="390" spans="1:5">
      <c r="A390" t="s">
        <v>2028</v>
      </c>
      <c r="B390" t="s">
        <v>2421</v>
      </c>
      <c r="C390">
        <v>282790</v>
      </c>
      <c r="D390">
        <v>30.44</v>
      </c>
      <c r="E390">
        <v>44958</v>
      </c>
    </row>
    <row r="391" spans="1:5">
      <c r="A391" t="s">
        <v>2032</v>
      </c>
      <c r="B391" t="s">
        <v>2422</v>
      </c>
      <c r="C391">
        <v>833609</v>
      </c>
      <c r="D391">
        <v>24.91</v>
      </c>
      <c r="E391">
        <v>43484</v>
      </c>
    </row>
    <row r="392" spans="1:5">
      <c r="A392" t="s">
        <v>2030</v>
      </c>
      <c r="B392" t="s">
        <v>2423</v>
      </c>
      <c r="C392">
        <v>855631</v>
      </c>
      <c r="D392">
        <v>69.849999999999994</v>
      </c>
      <c r="E392">
        <v>20191</v>
      </c>
    </row>
    <row r="393" spans="1:5">
      <c r="A393" t="s">
        <v>2030</v>
      </c>
      <c r="B393" t="s">
        <v>2424</v>
      </c>
      <c r="C393">
        <v>602514</v>
      </c>
      <c r="D393">
        <v>83.73</v>
      </c>
      <c r="E393">
        <v>12827</v>
      </c>
    </row>
    <row r="394" spans="1:5">
      <c r="A394" t="s">
        <v>2030</v>
      </c>
      <c r="B394" t="s">
        <v>2425</v>
      </c>
      <c r="C394">
        <v>582320</v>
      </c>
      <c r="D394">
        <v>85.53</v>
      </c>
      <c r="E394">
        <v>2373</v>
      </c>
    </row>
    <row r="395" spans="1:5">
      <c r="A395" t="s">
        <v>2030</v>
      </c>
      <c r="B395" t="s">
        <v>2426</v>
      </c>
      <c r="C395">
        <v>717905</v>
      </c>
      <c r="D395">
        <v>61.47</v>
      </c>
      <c r="E395">
        <v>23689</v>
      </c>
    </row>
    <row r="396" spans="1:5">
      <c r="A396" t="s">
        <v>2032</v>
      </c>
      <c r="B396" t="s">
        <v>2427</v>
      </c>
      <c r="C396">
        <v>177601</v>
      </c>
      <c r="D396">
        <v>44.28</v>
      </c>
      <c r="E396">
        <v>5663</v>
      </c>
    </row>
    <row r="397" spans="1:5">
      <c r="A397" t="s">
        <v>2031</v>
      </c>
      <c r="B397" t="s">
        <v>2428</v>
      </c>
      <c r="C397">
        <v>513100</v>
      </c>
      <c r="D397">
        <v>56.41</v>
      </c>
      <c r="E397">
        <v>15000</v>
      </c>
    </row>
    <row r="398" spans="1:5">
      <c r="A398" t="s">
        <v>2029</v>
      </c>
      <c r="B398" t="s">
        <v>2429</v>
      </c>
      <c r="C398">
        <v>824777</v>
      </c>
      <c r="D398">
        <v>49.22</v>
      </c>
      <c r="E398">
        <v>10738</v>
      </c>
    </row>
    <row r="399" spans="1:5">
      <c r="A399" t="s">
        <v>2032</v>
      </c>
      <c r="B399" t="s">
        <v>2430</v>
      </c>
      <c r="C399">
        <v>905033</v>
      </c>
      <c r="D399">
        <v>36.46</v>
      </c>
      <c r="E399">
        <v>14180</v>
      </c>
    </row>
    <row r="400" spans="1:5">
      <c r="A400" t="s">
        <v>2028</v>
      </c>
      <c r="B400" t="s">
        <v>2431</v>
      </c>
      <c r="C400">
        <v>753942</v>
      </c>
      <c r="D400">
        <v>72.239999999999995</v>
      </c>
      <c r="E400">
        <v>26951</v>
      </c>
    </row>
    <row r="401" spans="1:5">
      <c r="A401" t="s">
        <v>2030</v>
      </c>
      <c r="B401" t="s">
        <v>2432</v>
      </c>
      <c r="C401">
        <v>516952</v>
      </c>
      <c r="D401">
        <v>63.26</v>
      </c>
      <c r="E401">
        <v>10711</v>
      </c>
    </row>
    <row r="402" spans="1:5">
      <c r="A402" t="s">
        <v>2031</v>
      </c>
      <c r="B402" t="s">
        <v>2433</v>
      </c>
      <c r="C402">
        <v>405835</v>
      </c>
      <c r="D402">
        <v>43.93</v>
      </c>
      <c r="E402">
        <v>24059</v>
      </c>
    </row>
    <row r="403" spans="1:5">
      <c r="A403" t="s">
        <v>2029</v>
      </c>
      <c r="B403" t="s">
        <v>2434</v>
      </c>
      <c r="C403">
        <v>144108</v>
      </c>
      <c r="D403">
        <v>45.84</v>
      </c>
      <c r="E403">
        <v>26146</v>
      </c>
    </row>
    <row r="404" spans="1:5">
      <c r="A404" t="s">
        <v>2031</v>
      </c>
      <c r="B404" t="s">
        <v>2435</v>
      </c>
      <c r="C404">
        <v>782568</v>
      </c>
      <c r="D404">
        <v>84.53</v>
      </c>
      <c r="E404">
        <v>24867</v>
      </c>
    </row>
    <row r="405" spans="1:5">
      <c r="A405" t="s">
        <v>2030</v>
      </c>
      <c r="B405" t="s">
        <v>2436</v>
      </c>
      <c r="C405">
        <v>686774</v>
      </c>
      <c r="D405">
        <v>79.28</v>
      </c>
      <c r="E405">
        <v>45478</v>
      </c>
    </row>
    <row r="406" spans="1:5">
      <c r="A406" t="s">
        <v>2030</v>
      </c>
      <c r="B406" t="s">
        <v>2437</v>
      </c>
      <c r="C406">
        <v>865107</v>
      </c>
      <c r="D406">
        <v>39.68</v>
      </c>
      <c r="E406">
        <v>35387</v>
      </c>
    </row>
    <row r="407" spans="1:5">
      <c r="A407" t="s">
        <v>2029</v>
      </c>
      <c r="B407" t="s">
        <v>2438</v>
      </c>
      <c r="C407">
        <v>433278</v>
      </c>
      <c r="D407">
        <v>62.16</v>
      </c>
      <c r="E407">
        <v>12476</v>
      </c>
    </row>
    <row r="408" spans="1:5">
      <c r="A408" t="s">
        <v>2028</v>
      </c>
      <c r="B408" t="s">
        <v>2439</v>
      </c>
      <c r="C408">
        <v>629224</v>
      </c>
      <c r="D408">
        <v>72.73</v>
      </c>
      <c r="E408">
        <v>45645</v>
      </c>
    </row>
    <row r="409" spans="1:5">
      <c r="A409" t="s">
        <v>2028</v>
      </c>
      <c r="B409" t="s">
        <v>2440</v>
      </c>
      <c r="C409">
        <v>846163</v>
      </c>
      <c r="D409">
        <v>32.75</v>
      </c>
      <c r="E409">
        <v>8050</v>
      </c>
    </row>
    <row r="410" spans="1:5">
      <c r="A410" t="s">
        <v>2030</v>
      </c>
      <c r="B410" t="s">
        <v>2441</v>
      </c>
      <c r="C410">
        <v>160771</v>
      </c>
      <c r="D410">
        <v>65.88</v>
      </c>
      <c r="E410">
        <v>28514</v>
      </c>
    </row>
    <row r="411" spans="1:5">
      <c r="A411" t="s">
        <v>2031</v>
      </c>
      <c r="B411" t="s">
        <v>2442</v>
      </c>
      <c r="C411">
        <v>686294</v>
      </c>
      <c r="D411">
        <v>43.46</v>
      </c>
      <c r="E411">
        <v>8935</v>
      </c>
    </row>
    <row r="412" spans="1:5">
      <c r="A412" t="s">
        <v>2029</v>
      </c>
      <c r="B412" t="s">
        <v>2443</v>
      </c>
      <c r="C412">
        <v>988952</v>
      </c>
      <c r="D412">
        <v>38.17</v>
      </c>
      <c r="E412">
        <v>18365</v>
      </c>
    </row>
    <row r="413" spans="1:5">
      <c r="A413" t="s">
        <v>2028</v>
      </c>
      <c r="B413" t="s">
        <v>2444</v>
      </c>
      <c r="C413">
        <v>907531</v>
      </c>
      <c r="D413">
        <v>45.5</v>
      </c>
      <c r="E413">
        <v>9895</v>
      </c>
    </row>
    <row r="414" spans="1:5">
      <c r="A414" t="s">
        <v>2030</v>
      </c>
      <c r="B414" t="s">
        <v>2445</v>
      </c>
      <c r="C414">
        <v>235023</v>
      </c>
      <c r="D414">
        <v>22.51</v>
      </c>
      <c r="E414">
        <v>22176</v>
      </c>
    </row>
    <row r="415" spans="1:5">
      <c r="A415" t="s">
        <v>2032</v>
      </c>
      <c r="B415" t="s">
        <v>2446</v>
      </c>
      <c r="C415">
        <v>629619</v>
      </c>
      <c r="D415">
        <v>34.659999999999997</v>
      </c>
      <c r="E415">
        <v>29281</v>
      </c>
    </row>
    <row r="416" spans="1:5">
      <c r="A416" t="s">
        <v>2030</v>
      </c>
      <c r="B416" t="s">
        <v>2447</v>
      </c>
      <c r="C416">
        <v>329401</v>
      </c>
      <c r="D416">
        <v>79.39</v>
      </c>
      <c r="E416">
        <v>5474</v>
      </c>
    </row>
    <row r="417" spans="1:5">
      <c r="A417" t="s">
        <v>2030</v>
      </c>
      <c r="B417" t="s">
        <v>2448</v>
      </c>
      <c r="C417">
        <v>260743</v>
      </c>
      <c r="D417">
        <v>40.29</v>
      </c>
      <c r="E417">
        <v>2893</v>
      </c>
    </row>
    <row r="418" spans="1:5">
      <c r="A418" t="s">
        <v>2028</v>
      </c>
      <c r="B418" t="s">
        <v>2449</v>
      </c>
      <c r="C418">
        <v>982800</v>
      </c>
      <c r="D418">
        <v>50.22</v>
      </c>
      <c r="E418">
        <v>25731</v>
      </c>
    </row>
    <row r="419" spans="1:5">
      <c r="A419" t="s">
        <v>2031</v>
      </c>
      <c r="B419" t="s">
        <v>2450</v>
      </c>
      <c r="C419">
        <v>170248</v>
      </c>
      <c r="D419">
        <v>65.64</v>
      </c>
      <c r="E419">
        <v>16007</v>
      </c>
    </row>
    <row r="420" spans="1:5">
      <c r="A420" t="s">
        <v>2029</v>
      </c>
      <c r="B420" t="s">
        <v>2451</v>
      </c>
      <c r="C420">
        <v>695208</v>
      </c>
      <c r="D420">
        <v>70.37</v>
      </c>
      <c r="E420">
        <v>26032</v>
      </c>
    </row>
    <row r="421" spans="1:5">
      <c r="A421" t="s">
        <v>2029</v>
      </c>
      <c r="B421" t="s">
        <v>2452</v>
      </c>
      <c r="C421">
        <v>780294</v>
      </c>
      <c r="D421">
        <v>56.03</v>
      </c>
      <c r="E421">
        <v>46394</v>
      </c>
    </row>
    <row r="422" spans="1:5">
      <c r="A422" t="s">
        <v>2028</v>
      </c>
      <c r="B422" t="s">
        <v>2453</v>
      </c>
      <c r="C422">
        <v>356081</v>
      </c>
      <c r="D422">
        <v>46.86</v>
      </c>
      <c r="E422">
        <v>31537</v>
      </c>
    </row>
    <row r="423" spans="1:5">
      <c r="A423" t="s">
        <v>2031</v>
      </c>
      <c r="B423" t="s">
        <v>2454</v>
      </c>
      <c r="C423">
        <v>434545</v>
      </c>
      <c r="D423">
        <v>60.6</v>
      </c>
      <c r="E423">
        <v>14825</v>
      </c>
    </row>
    <row r="424" spans="1:5">
      <c r="A424" t="s">
        <v>2031</v>
      </c>
      <c r="B424" t="s">
        <v>2455</v>
      </c>
      <c r="C424">
        <v>639701</v>
      </c>
      <c r="D424">
        <v>70.459999999999994</v>
      </c>
      <c r="E424">
        <v>17421</v>
      </c>
    </row>
    <row r="425" spans="1:5">
      <c r="A425" t="s">
        <v>2032</v>
      </c>
      <c r="B425" t="s">
        <v>2456</v>
      </c>
      <c r="C425">
        <v>627085</v>
      </c>
      <c r="D425">
        <v>34.17</v>
      </c>
      <c r="E425">
        <v>18879</v>
      </c>
    </row>
    <row r="426" spans="1:5">
      <c r="A426" t="s">
        <v>2030</v>
      </c>
      <c r="B426" t="s">
        <v>2457</v>
      </c>
      <c r="C426">
        <v>432119</v>
      </c>
      <c r="D426">
        <v>34.97</v>
      </c>
      <c r="E426">
        <v>12431</v>
      </c>
    </row>
    <row r="427" spans="1:5">
      <c r="A427" t="s">
        <v>2029</v>
      </c>
      <c r="B427" t="s">
        <v>2458</v>
      </c>
      <c r="C427">
        <v>748296</v>
      </c>
      <c r="D427">
        <v>72.84</v>
      </c>
      <c r="E427">
        <v>7016</v>
      </c>
    </row>
    <row r="428" spans="1:5">
      <c r="A428" t="s">
        <v>2030</v>
      </c>
      <c r="B428" t="s">
        <v>2459</v>
      </c>
      <c r="C428">
        <v>851356</v>
      </c>
      <c r="D428">
        <v>42.17</v>
      </c>
      <c r="E428">
        <v>5043</v>
      </c>
    </row>
    <row r="429" spans="1:5">
      <c r="A429" t="s">
        <v>2031</v>
      </c>
      <c r="B429" t="s">
        <v>2460</v>
      </c>
      <c r="C429">
        <v>394592</v>
      </c>
      <c r="D429">
        <v>31.94</v>
      </c>
      <c r="E429">
        <v>8282</v>
      </c>
    </row>
    <row r="430" spans="1:5">
      <c r="A430" t="s">
        <v>2032</v>
      </c>
      <c r="B430" t="s">
        <v>2461</v>
      </c>
      <c r="C430">
        <v>930031</v>
      </c>
      <c r="D430">
        <v>50.27</v>
      </c>
      <c r="E430">
        <v>38038</v>
      </c>
    </row>
    <row r="431" spans="1:5">
      <c r="A431" t="s">
        <v>2028</v>
      </c>
      <c r="B431" t="s">
        <v>2462</v>
      </c>
      <c r="C431">
        <v>770272</v>
      </c>
      <c r="D431">
        <v>42.54</v>
      </c>
      <c r="E431">
        <v>18608</v>
      </c>
    </row>
    <row r="432" spans="1:5">
      <c r="A432" t="s">
        <v>2028</v>
      </c>
      <c r="B432" t="s">
        <v>2463</v>
      </c>
      <c r="C432">
        <v>215617</v>
      </c>
      <c r="D432">
        <v>45.49</v>
      </c>
      <c r="E432">
        <v>13755</v>
      </c>
    </row>
    <row r="433" spans="1:5">
      <c r="A433" t="s">
        <v>2028</v>
      </c>
      <c r="B433" t="s">
        <v>2464</v>
      </c>
      <c r="C433">
        <v>978571</v>
      </c>
      <c r="D433">
        <v>80.319999999999993</v>
      </c>
      <c r="E433">
        <v>31733</v>
      </c>
    </row>
    <row r="434" spans="1:5">
      <c r="A434" t="s">
        <v>2029</v>
      </c>
      <c r="B434" t="s">
        <v>2465</v>
      </c>
      <c r="C434">
        <v>141861</v>
      </c>
      <c r="D434">
        <v>25.55</v>
      </c>
      <c r="E434">
        <v>8966</v>
      </c>
    </row>
    <row r="435" spans="1:5">
      <c r="A435" t="s">
        <v>2029</v>
      </c>
      <c r="B435" t="s">
        <v>2466</v>
      </c>
      <c r="C435">
        <v>737190</v>
      </c>
      <c r="D435">
        <v>40</v>
      </c>
      <c r="E435">
        <v>13012</v>
      </c>
    </row>
    <row r="436" spans="1:5">
      <c r="A436" t="s">
        <v>2032</v>
      </c>
      <c r="B436" t="s">
        <v>2467</v>
      </c>
      <c r="C436">
        <v>186985</v>
      </c>
      <c r="D436">
        <v>69.41</v>
      </c>
      <c r="E436">
        <v>21756</v>
      </c>
    </row>
    <row r="437" spans="1:5">
      <c r="A437" t="s">
        <v>2028</v>
      </c>
      <c r="B437" t="s">
        <v>2468</v>
      </c>
      <c r="C437">
        <v>421730</v>
      </c>
      <c r="D437">
        <v>82.46</v>
      </c>
      <c r="E437">
        <v>43512</v>
      </c>
    </row>
    <row r="438" spans="1:5">
      <c r="A438" t="s">
        <v>2032</v>
      </c>
      <c r="B438" t="s">
        <v>2469</v>
      </c>
      <c r="C438">
        <v>339135</v>
      </c>
      <c r="D438">
        <v>47.71</v>
      </c>
      <c r="E438">
        <v>40091</v>
      </c>
    </row>
    <row r="439" spans="1:5">
      <c r="A439" t="s">
        <v>2032</v>
      </c>
      <c r="B439" t="s">
        <v>2470</v>
      </c>
      <c r="C439">
        <v>238710</v>
      </c>
      <c r="D439">
        <v>47.03</v>
      </c>
      <c r="E439">
        <v>48790</v>
      </c>
    </row>
    <row r="440" spans="1:5">
      <c r="A440" t="s">
        <v>2028</v>
      </c>
      <c r="B440" t="s">
        <v>2471</v>
      </c>
      <c r="C440">
        <v>931112</v>
      </c>
      <c r="D440">
        <v>44.98</v>
      </c>
      <c r="E440">
        <v>34240</v>
      </c>
    </row>
    <row r="441" spans="1:5">
      <c r="A441" t="s">
        <v>2032</v>
      </c>
      <c r="B441" t="s">
        <v>2472</v>
      </c>
      <c r="C441">
        <v>571084</v>
      </c>
      <c r="D441">
        <v>27.25</v>
      </c>
      <c r="E441">
        <v>1446</v>
      </c>
    </row>
    <row r="442" spans="1:5">
      <c r="A442" t="s">
        <v>2030</v>
      </c>
      <c r="B442" t="s">
        <v>2473</v>
      </c>
      <c r="C442">
        <v>701439</v>
      </c>
      <c r="D442">
        <v>72.569999999999993</v>
      </c>
      <c r="E442">
        <v>6390</v>
      </c>
    </row>
    <row r="443" spans="1:5">
      <c r="A443" t="s">
        <v>2031</v>
      </c>
      <c r="B443" t="s">
        <v>2474</v>
      </c>
      <c r="C443">
        <v>668247</v>
      </c>
      <c r="D443">
        <v>73.930000000000007</v>
      </c>
      <c r="E443">
        <v>30855</v>
      </c>
    </row>
    <row r="444" spans="1:5">
      <c r="A444" t="s">
        <v>2032</v>
      </c>
      <c r="B444" t="s">
        <v>2475</v>
      </c>
      <c r="C444">
        <v>932344</v>
      </c>
      <c r="D444">
        <v>49.72</v>
      </c>
      <c r="E444">
        <v>48397</v>
      </c>
    </row>
    <row r="445" spans="1:5">
      <c r="A445" t="s">
        <v>2032</v>
      </c>
      <c r="B445" t="s">
        <v>2476</v>
      </c>
      <c r="C445">
        <v>824968</v>
      </c>
      <c r="D445">
        <v>57.23</v>
      </c>
      <c r="E445">
        <v>30973</v>
      </c>
    </row>
    <row r="446" spans="1:5">
      <c r="A446" t="s">
        <v>2029</v>
      </c>
      <c r="B446" t="s">
        <v>2477</v>
      </c>
      <c r="C446">
        <v>956952</v>
      </c>
      <c r="D446">
        <v>30.97</v>
      </c>
      <c r="E446">
        <v>13223</v>
      </c>
    </row>
    <row r="447" spans="1:5">
      <c r="A447" t="s">
        <v>2028</v>
      </c>
      <c r="B447" t="s">
        <v>2478</v>
      </c>
      <c r="C447">
        <v>905108</v>
      </c>
      <c r="D447">
        <v>20.79</v>
      </c>
      <c r="E447">
        <v>25239</v>
      </c>
    </row>
    <row r="448" spans="1:5">
      <c r="A448" t="s">
        <v>2032</v>
      </c>
      <c r="B448" t="s">
        <v>2479</v>
      </c>
      <c r="C448">
        <v>473322</v>
      </c>
      <c r="D448">
        <v>76.39</v>
      </c>
      <c r="E448">
        <v>12178</v>
      </c>
    </row>
    <row r="449" spans="1:5">
      <c r="A449" t="s">
        <v>2030</v>
      </c>
      <c r="B449" t="s">
        <v>2480</v>
      </c>
      <c r="C449">
        <v>722998</v>
      </c>
      <c r="D449">
        <v>28.8</v>
      </c>
      <c r="E449">
        <v>13305</v>
      </c>
    </row>
    <row r="450" spans="1:5">
      <c r="A450" t="s">
        <v>2029</v>
      </c>
      <c r="B450" t="s">
        <v>2481</v>
      </c>
      <c r="C450">
        <v>671811</v>
      </c>
      <c r="D450">
        <v>52.32</v>
      </c>
      <c r="E450">
        <v>17929</v>
      </c>
    </row>
    <row r="451" spans="1:5">
      <c r="A451" t="s">
        <v>2029</v>
      </c>
      <c r="B451" t="s">
        <v>2482</v>
      </c>
      <c r="C451">
        <v>826310</v>
      </c>
      <c r="D451">
        <v>25.5</v>
      </c>
      <c r="E451">
        <v>4516</v>
      </c>
    </row>
    <row r="452" spans="1:5">
      <c r="A452" t="s">
        <v>2028</v>
      </c>
      <c r="B452" t="s">
        <v>2483</v>
      </c>
      <c r="C452">
        <v>926330</v>
      </c>
      <c r="D452">
        <v>58.99</v>
      </c>
      <c r="E452">
        <v>4126</v>
      </c>
    </row>
    <row r="453" spans="1:5">
      <c r="A453" t="s">
        <v>2029</v>
      </c>
      <c r="B453" t="s">
        <v>2484</v>
      </c>
      <c r="C453">
        <v>504369</v>
      </c>
      <c r="D453">
        <v>21.3</v>
      </c>
      <c r="E453">
        <v>28415</v>
      </c>
    </row>
    <row r="454" spans="1:5">
      <c r="A454" t="s">
        <v>2032</v>
      </c>
      <c r="B454" t="s">
        <v>2485</v>
      </c>
      <c r="C454">
        <v>780794</v>
      </c>
      <c r="D454">
        <v>64.599999999999994</v>
      </c>
      <c r="E454">
        <v>18245</v>
      </c>
    </row>
    <row r="455" spans="1:5">
      <c r="A455" t="s">
        <v>2029</v>
      </c>
      <c r="B455" t="s">
        <v>2486</v>
      </c>
      <c r="C455">
        <v>297093</v>
      </c>
      <c r="D455">
        <v>75.25</v>
      </c>
      <c r="E455">
        <v>44200</v>
      </c>
    </row>
    <row r="456" spans="1:5">
      <c r="A456" t="s">
        <v>2028</v>
      </c>
      <c r="B456" t="s">
        <v>2487</v>
      </c>
      <c r="C456">
        <v>690268</v>
      </c>
      <c r="D456">
        <v>59.14</v>
      </c>
      <c r="E456">
        <v>39939</v>
      </c>
    </row>
    <row r="457" spans="1:5">
      <c r="A457" t="s">
        <v>2032</v>
      </c>
      <c r="B457" t="s">
        <v>2488</v>
      </c>
      <c r="C457">
        <v>685913</v>
      </c>
      <c r="D457">
        <v>35.78</v>
      </c>
      <c r="E457">
        <v>33336</v>
      </c>
    </row>
    <row r="458" spans="1:5">
      <c r="A458" t="s">
        <v>2032</v>
      </c>
      <c r="B458" t="s">
        <v>2489</v>
      </c>
      <c r="C458">
        <v>662919</v>
      </c>
      <c r="D458">
        <v>22.94</v>
      </c>
      <c r="E458">
        <v>48551</v>
      </c>
    </row>
    <row r="459" spans="1:5">
      <c r="A459" t="s">
        <v>2031</v>
      </c>
      <c r="B459" t="s">
        <v>2490</v>
      </c>
      <c r="C459">
        <v>308305</v>
      </c>
      <c r="D459">
        <v>85.52</v>
      </c>
      <c r="E459">
        <v>13610</v>
      </c>
    </row>
    <row r="460" spans="1:5">
      <c r="A460" t="s">
        <v>2030</v>
      </c>
      <c r="B460" t="s">
        <v>2491</v>
      </c>
      <c r="C460">
        <v>890978</v>
      </c>
      <c r="D460">
        <v>81.12</v>
      </c>
      <c r="E460">
        <v>14070</v>
      </c>
    </row>
    <row r="461" spans="1:5">
      <c r="A461" t="s">
        <v>2028</v>
      </c>
      <c r="B461" t="s">
        <v>2492</v>
      </c>
      <c r="C461">
        <v>632595</v>
      </c>
      <c r="D461">
        <v>88.56</v>
      </c>
      <c r="E461">
        <v>15833</v>
      </c>
    </row>
    <row r="462" spans="1:5">
      <c r="A462" t="s">
        <v>2029</v>
      </c>
      <c r="B462" t="s">
        <v>2493</v>
      </c>
      <c r="C462">
        <v>620623</v>
      </c>
      <c r="D462">
        <v>76.45</v>
      </c>
      <c r="E462">
        <v>49702</v>
      </c>
    </row>
    <row r="463" spans="1:5">
      <c r="A463" t="s">
        <v>2032</v>
      </c>
      <c r="B463" t="s">
        <v>2494</v>
      </c>
      <c r="C463">
        <v>717721</v>
      </c>
      <c r="D463">
        <v>79.290000000000006</v>
      </c>
      <c r="E463">
        <v>5125</v>
      </c>
    </row>
    <row r="464" spans="1:5">
      <c r="A464" t="s">
        <v>2029</v>
      </c>
      <c r="B464" t="s">
        <v>2495</v>
      </c>
      <c r="C464">
        <v>856020</v>
      </c>
      <c r="D464">
        <v>87.92</v>
      </c>
      <c r="E464">
        <v>14383</v>
      </c>
    </row>
    <row r="465" spans="1:5">
      <c r="A465" t="s">
        <v>2029</v>
      </c>
      <c r="B465" t="s">
        <v>2496</v>
      </c>
      <c r="C465">
        <v>889831</v>
      </c>
      <c r="D465">
        <v>42.82</v>
      </c>
      <c r="E465">
        <v>20355</v>
      </c>
    </row>
    <row r="466" spans="1:5">
      <c r="A466" t="s">
        <v>2032</v>
      </c>
      <c r="B466" t="s">
        <v>2497</v>
      </c>
      <c r="C466">
        <v>312731</v>
      </c>
      <c r="D466">
        <v>31.07</v>
      </c>
      <c r="E466">
        <v>36630</v>
      </c>
    </row>
    <row r="467" spans="1:5">
      <c r="A467" t="s">
        <v>2028</v>
      </c>
      <c r="B467" t="s">
        <v>2498</v>
      </c>
      <c r="C467">
        <v>888913</v>
      </c>
      <c r="D467">
        <v>48.85</v>
      </c>
      <c r="E467">
        <v>47588</v>
      </c>
    </row>
    <row r="468" spans="1:5">
      <c r="A468" t="s">
        <v>2029</v>
      </c>
      <c r="B468" t="s">
        <v>2499</v>
      </c>
      <c r="C468">
        <v>251050</v>
      </c>
      <c r="D468">
        <v>72.36</v>
      </c>
      <c r="E468">
        <v>1493</v>
      </c>
    </row>
    <row r="469" spans="1:5">
      <c r="A469" t="s">
        <v>2030</v>
      </c>
      <c r="B469" t="s">
        <v>2500</v>
      </c>
      <c r="C469">
        <v>942419</v>
      </c>
      <c r="D469">
        <v>65.86</v>
      </c>
      <c r="E469">
        <v>40978</v>
      </c>
    </row>
    <row r="470" spans="1:5">
      <c r="A470" t="s">
        <v>2031</v>
      </c>
      <c r="B470" t="s">
        <v>2501</v>
      </c>
      <c r="C470">
        <v>235091</v>
      </c>
      <c r="D470">
        <v>65.77</v>
      </c>
      <c r="E470">
        <v>13690</v>
      </c>
    </row>
    <row r="471" spans="1:5">
      <c r="A471" t="s">
        <v>2030</v>
      </c>
      <c r="B471" t="s">
        <v>2502</v>
      </c>
      <c r="C471">
        <v>234023</v>
      </c>
      <c r="D471">
        <v>89.2</v>
      </c>
      <c r="E471">
        <v>30983</v>
      </c>
    </row>
    <row r="472" spans="1:5">
      <c r="A472" t="s">
        <v>2030</v>
      </c>
      <c r="B472" t="s">
        <v>2503</v>
      </c>
      <c r="C472">
        <v>889472</v>
      </c>
      <c r="D472">
        <v>43.42</v>
      </c>
      <c r="E472">
        <v>6178</v>
      </c>
    </row>
    <row r="473" spans="1:5">
      <c r="A473" t="s">
        <v>2028</v>
      </c>
      <c r="B473" t="s">
        <v>2504</v>
      </c>
      <c r="C473">
        <v>775259</v>
      </c>
      <c r="D473">
        <v>75.8</v>
      </c>
      <c r="E473">
        <v>2648</v>
      </c>
    </row>
    <row r="474" spans="1:5">
      <c r="A474" t="s">
        <v>2030</v>
      </c>
      <c r="B474" t="s">
        <v>2505</v>
      </c>
      <c r="C474">
        <v>878112</v>
      </c>
      <c r="D474">
        <v>85.79</v>
      </c>
      <c r="E474">
        <v>17199</v>
      </c>
    </row>
    <row r="475" spans="1:5">
      <c r="A475" t="s">
        <v>2031</v>
      </c>
      <c r="B475" t="s">
        <v>2506</v>
      </c>
      <c r="C475">
        <v>500215</v>
      </c>
      <c r="D475">
        <v>60.87</v>
      </c>
      <c r="E475">
        <v>26327</v>
      </c>
    </row>
    <row r="476" spans="1:5">
      <c r="A476" t="s">
        <v>2029</v>
      </c>
      <c r="B476" t="s">
        <v>2507</v>
      </c>
      <c r="C476">
        <v>216957</v>
      </c>
      <c r="D476">
        <v>70.3</v>
      </c>
      <c r="E476">
        <v>24710</v>
      </c>
    </row>
    <row r="477" spans="1:5">
      <c r="A477" t="s">
        <v>2032</v>
      </c>
      <c r="B477" t="s">
        <v>2508</v>
      </c>
      <c r="C477">
        <v>572475</v>
      </c>
      <c r="D477">
        <v>57.34</v>
      </c>
      <c r="E477">
        <v>25531</v>
      </c>
    </row>
    <row r="478" spans="1:5">
      <c r="A478" t="s">
        <v>2030</v>
      </c>
      <c r="B478" t="s">
        <v>2509</v>
      </c>
      <c r="C478">
        <v>415818</v>
      </c>
      <c r="D478">
        <v>80.73</v>
      </c>
      <c r="E478">
        <v>13170</v>
      </c>
    </row>
    <row r="479" spans="1:5">
      <c r="A479" t="s">
        <v>2031</v>
      </c>
      <c r="B479" t="s">
        <v>2510</v>
      </c>
      <c r="C479">
        <v>541974</v>
      </c>
      <c r="D479">
        <v>80.86</v>
      </c>
      <c r="E479">
        <v>8608</v>
      </c>
    </row>
    <row r="480" spans="1:5">
      <c r="A480" t="s">
        <v>2029</v>
      </c>
      <c r="B480" t="s">
        <v>2511</v>
      </c>
      <c r="C480">
        <v>727824</v>
      </c>
      <c r="D480">
        <v>78.63</v>
      </c>
      <c r="E480">
        <v>8701</v>
      </c>
    </row>
    <row r="481" spans="1:5">
      <c r="A481" t="s">
        <v>2031</v>
      </c>
      <c r="B481" t="s">
        <v>2512</v>
      </c>
      <c r="C481">
        <v>736052</v>
      </c>
      <c r="D481">
        <v>55.89</v>
      </c>
      <c r="E481">
        <v>7890</v>
      </c>
    </row>
    <row r="482" spans="1:5">
      <c r="A482" t="s">
        <v>2031</v>
      </c>
      <c r="B482" t="s">
        <v>2513</v>
      </c>
      <c r="C482">
        <v>414603</v>
      </c>
      <c r="D482">
        <v>33.11</v>
      </c>
      <c r="E482">
        <v>15174</v>
      </c>
    </row>
    <row r="483" spans="1:5">
      <c r="A483" t="s">
        <v>2028</v>
      </c>
      <c r="B483" t="s">
        <v>2514</v>
      </c>
      <c r="C483">
        <v>208481</v>
      </c>
      <c r="D483">
        <v>87.81</v>
      </c>
      <c r="E483">
        <v>16442</v>
      </c>
    </row>
    <row r="484" spans="1:5">
      <c r="A484" t="s">
        <v>2030</v>
      </c>
      <c r="B484" t="s">
        <v>2515</v>
      </c>
      <c r="C484">
        <v>875146</v>
      </c>
      <c r="D484">
        <v>37.67</v>
      </c>
      <c r="E484">
        <v>49571</v>
      </c>
    </row>
    <row r="485" spans="1:5">
      <c r="A485" t="s">
        <v>2028</v>
      </c>
      <c r="B485" t="s">
        <v>2516</v>
      </c>
      <c r="C485">
        <v>579169</v>
      </c>
      <c r="D485">
        <v>62.97</v>
      </c>
      <c r="E485">
        <v>2553</v>
      </c>
    </row>
    <row r="486" spans="1:5">
      <c r="A486" t="s">
        <v>2030</v>
      </c>
      <c r="B486" t="s">
        <v>2517</v>
      </c>
      <c r="C486">
        <v>969924</v>
      </c>
      <c r="D486">
        <v>83.66</v>
      </c>
      <c r="E486">
        <v>29487</v>
      </c>
    </row>
    <row r="487" spans="1:5">
      <c r="A487" t="s">
        <v>2030</v>
      </c>
      <c r="B487" t="s">
        <v>2518</v>
      </c>
      <c r="C487">
        <v>199964</v>
      </c>
      <c r="D487">
        <v>28.12</v>
      </c>
      <c r="E487">
        <v>44495</v>
      </c>
    </row>
    <row r="488" spans="1:5">
      <c r="A488" t="s">
        <v>2028</v>
      </c>
      <c r="B488" t="s">
        <v>2519</v>
      </c>
      <c r="C488">
        <v>455131</v>
      </c>
      <c r="D488">
        <v>71.94</v>
      </c>
      <c r="E488">
        <v>33674</v>
      </c>
    </row>
    <row r="489" spans="1:5">
      <c r="A489" t="s">
        <v>2030</v>
      </c>
      <c r="B489" t="s">
        <v>2520</v>
      </c>
      <c r="C489">
        <v>430623</v>
      </c>
      <c r="D489">
        <v>65.56</v>
      </c>
      <c r="E489">
        <v>1293</v>
      </c>
    </row>
    <row r="490" spans="1:5">
      <c r="A490" t="s">
        <v>2031</v>
      </c>
      <c r="B490" t="s">
        <v>2521</v>
      </c>
      <c r="C490">
        <v>967511</v>
      </c>
      <c r="D490">
        <v>67.16</v>
      </c>
      <c r="E490">
        <v>6338</v>
      </c>
    </row>
    <row r="491" spans="1:5">
      <c r="A491" t="s">
        <v>2031</v>
      </c>
      <c r="B491" t="s">
        <v>2522</v>
      </c>
      <c r="C491">
        <v>365767</v>
      </c>
      <c r="D491">
        <v>67.27</v>
      </c>
      <c r="E491">
        <v>2350</v>
      </c>
    </row>
    <row r="492" spans="1:5">
      <c r="A492" t="s">
        <v>2032</v>
      </c>
      <c r="B492" t="s">
        <v>2523</v>
      </c>
      <c r="C492">
        <v>298631</v>
      </c>
      <c r="D492">
        <v>83.14</v>
      </c>
      <c r="E492">
        <v>4559</v>
      </c>
    </row>
    <row r="493" spans="1:5">
      <c r="A493" t="s">
        <v>2029</v>
      </c>
      <c r="B493" t="s">
        <v>2524</v>
      </c>
      <c r="C493">
        <v>882721</v>
      </c>
      <c r="D493">
        <v>50.35</v>
      </c>
      <c r="E493">
        <v>44523</v>
      </c>
    </row>
    <row r="494" spans="1:5">
      <c r="A494" t="s">
        <v>2028</v>
      </c>
      <c r="B494" t="s">
        <v>2525</v>
      </c>
      <c r="C494">
        <v>432793</v>
      </c>
      <c r="D494">
        <v>24.73</v>
      </c>
      <c r="E494">
        <v>24089</v>
      </c>
    </row>
    <row r="495" spans="1:5">
      <c r="A495" t="s">
        <v>2031</v>
      </c>
      <c r="B495" t="s">
        <v>2526</v>
      </c>
      <c r="C495">
        <v>254593</v>
      </c>
      <c r="D495">
        <v>69.7</v>
      </c>
      <c r="E495">
        <v>33605</v>
      </c>
    </row>
    <row r="496" spans="1:5">
      <c r="A496" t="s">
        <v>2030</v>
      </c>
      <c r="B496" t="s">
        <v>2527</v>
      </c>
      <c r="C496">
        <v>936596</v>
      </c>
      <c r="D496">
        <v>46.39</v>
      </c>
      <c r="E496">
        <v>8378</v>
      </c>
    </row>
    <row r="497" spans="1:5">
      <c r="A497" t="s">
        <v>2032</v>
      </c>
      <c r="B497" t="s">
        <v>2528</v>
      </c>
      <c r="C497">
        <v>833021</v>
      </c>
      <c r="D497">
        <v>64.25</v>
      </c>
      <c r="E497">
        <v>45193</v>
      </c>
    </row>
    <row r="498" spans="1:5">
      <c r="A498" t="s">
        <v>2032</v>
      </c>
      <c r="B498" t="s">
        <v>2529</v>
      </c>
      <c r="C498">
        <v>489170</v>
      </c>
      <c r="D498">
        <v>80.41</v>
      </c>
      <c r="E498">
        <v>12802</v>
      </c>
    </row>
    <row r="499" spans="1:5">
      <c r="A499" t="s">
        <v>2032</v>
      </c>
      <c r="B499" t="s">
        <v>2530</v>
      </c>
      <c r="C499">
        <v>129219</v>
      </c>
      <c r="D499">
        <v>70.09</v>
      </c>
      <c r="E499">
        <v>44651</v>
      </c>
    </row>
    <row r="500" spans="1:5">
      <c r="A500" t="s">
        <v>2028</v>
      </c>
      <c r="B500" t="s">
        <v>2531</v>
      </c>
      <c r="C500">
        <v>247253</v>
      </c>
      <c r="D500">
        <v>65.62</v>
      </c>
      <c r="E500">
        <v>20115</v>
      </c>
    </row>
    <row r="501" spans="1:5">
      <c r="A501" t="s">
        <v>2028</v>
      </c>
      <c r="B501" t="s">
        <v>2532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Praneet Bawa</cp:lastModifiedBy>
  <dcterms:created xsi:type="dcterms:W3CDTF">2024-12-11T15:12:54Z</dcterms:created>
  <dcterms:modified xsi:type="dcterms:W3CDTF">2026-07-19T21:15:23Z</dcterms:modified>
</cp:coreProperties>
</file>